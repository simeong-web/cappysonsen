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Rounds" sheetId="2" r:id="rId2"/>
    <sheet name="Sensitivity" sheetId="3" r:id="rId3"/>
  </sheets>
  <definedNames>
    <definedName name="WarmthPerTile">Assumptions!$B$14</definedName>
    <definedName name="Match4Bonus">Assumptions!$B$15</definedName>
    <definedName name="Match5Bonus">Assumptions!$B$16</definedName>
    <definedName name="BlissPerCascade">Assumptions!$B$17</definedName>
    <definedName name="MoveBudget">Assumptions!$B$20</definedName>
    <definedName name="MatchP3">Assumptions!$B$21</definedName>
    <definedName name="MatchP4">Assumptions!$B$22</definedName>
    <definedName name="MatchP5">Assumptions!$B$23</definedName>
    <definedName name="Tiles5Plus">Assumptions!$B$24</definedName>
    <definedName name="CascadeSteps">Assumptions!$B$25</definedName>
    <definedName name="CascadeTiles">Assumptions!$B$26</definedName>
    <definedName name="TargetBase">Assumptions!$B$30</definedName>
    <definedName name="TargetGrowth">Assumptions!$B$31</definedName>
    <definedName name="SoakEvery">Assumptions!$B$34</definedName>
    <definedName name="SoakPenalty">Assumptions!$B$35</definedName>
    <definedName name="Skill">Assumptions!$B$38</definedName>
    <definedName name="CharmGain">Assumptions!$B$39</definedName>
    <definedName name="GreenMax">Assumptions!$B$40</definedName>
    <definedName name="SecPerMove">Assumptions!$B$43</definedName>
    <definedName name="DraftSec">Assumptions!$B$44</definedName>
    <definedName name="TilesInMatch">Assumptions!$B$47</definedName>
    <definedName name="TilesPerMove">Assumptions!$B$48</definedName>
    <definedName name="WarmthPerMove">Assumptions!$B$49</definedName>
    <definedName name="BlissPerMove">Assumptions!$B$50</definedName>
    <definedName name="RoundBliss">Assumptions!$B$51</definedName>
    <definedName name="WallRound">Rounds!$B$22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"/>
    <numFmt numFmtId="165" formatCode="0.000"/>
    <numFmt numFmtId="166" formatCode="0.00"/>
    <numFmt numFmtId="167" formatCode="0.0"/>
  </numFmts>
  <fonts count="4">
    <font>
      <sz val="11"/>
      <name val="Calibri"/>
    </font>
    <font>
      <b/>
      <sz val="11"/>
      <name val="Calibri"/>
    </font>
    <font>
      <b/>
      <sz val="14"/>
      <color rgb="FF1F6F8B"/>
      <name val="Calibri"/>
    </font>
    <font>
      <i/>
      <sz val="10"/>
      <color rgb="FF7777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8EE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1" xfId="0" applyFont="1" applyFill="1" applyBorder="1"/>
    <xf numFmtId="0" fontId="0" fillId="2" borderId="0" xfId="0" applyFill="1"/>
    <xf numFmtId="166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0" fontId="1" fillId="4" borderId="0" xfId="0" applyFont="1" applyFill="1"/>
  </cellXfs>
  <cellStyles count="1">
    <cellStyle name="Normal" xfId="0" builtinId="0"/>
  </cellStyles>
  <dxfs count="0"/>
  <tableStyle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6" customWidth="1"/>
    <col min="2" max="2" width="15" customWidth="1"/>
    <col min="3" max="3" width="78" customWidth="1"/>
  </cols>
  <sheetData>
    <row r="1">
      <c r="A1" s="2" t="inlineStr">
        <is>
          <t xml:space="preserve">CAPPY'S ONSEN — BALANCE WORKBOOK</t>
        </is>
      </c>
    </row>
    <row r="2">
      <c r="A2" s="3" t="inlineStr">
        <is>
          <t xml:space="preserve">Tune the yellow cells. Everything else is derived — do not type over it.</t>
        </is>
      </c>
    </row>
    <row r="3">
      <c r="A3" s="3" t="inlineStr">
        <is>
          <t xml:space="preserve">This sheet is the source of truth for balance. config.ts mirrors it, never the other way round (CLAUDE.md rule 6).</t>
        </is>
      </c>
    </row>
    <row r="5">
      <c r="A5" s="13" t="inlineStr">
        <is>
          <t xml:space="preserve">READOUTS</t>
        </is>
      </c>
      <c r="B5" s="13" t="inlineStr">
        <is>
          <t xml:space="preserve"/>
        </is>
      </c>
      <c r="C5" s="13" t="inlineStr">
        <is>
          <t xml:space="preserve"/>
        </is>
      </c>
    </row>
    <row r="6">
      <c r="A6" s="1" t="inlineStr">
        <is>
          <t xml:space="preserve">First wall (round)</t>
        </is>
      </c>
      <c r="B6" s="1">
        <f>IF(WallRound=0,"no wall in 15 rounds",WallRound)</f>
      </c>
      <c r="C6" s="3" t="inlineStr">
        <is>
          <t xml:space="preserve">The first round an average player cannot clear.</t>
        </is>
      </c>
    </row>
    <row r="7">
      <c r="A7" s="1" t="inlineStr">
        <is>
          <t xml:space="preserve">Expected run length (minutes)</t>
        </is>
      </c>
      <c r="B7" s="11">
        <f>Rounds!$B$23</f>
      </c>
      <c r="C7" s="3" t="inlineStr">
        <is>
          <t xml:space="preserve">Includes the failed round, played out to the full move budget.</t>
        </is>
      </c>
    </row>
    <row r="8">
      <c r="A8" s="1" t="inlineStr">
        <is>
          <t xml:space="preserve">Score at wall</t>
        </is>
      </c>
      <c r="B8" s="12">
        <f>Rounds!$B$24</f>
      </c>
      <c r="C8" s="3" t="inlineStr">
        <is>
          <t xml:space="preserve">Sum of round scores over the whole run.</t>
        </is>
      </c>
    </row>
    <row r="9">
      <c r="A9" s="1" t="inlineStr">
        <is>
          <t xml:space="preserve">Rounds cleared</t>
        </is>
      </c>
      <c r="B9" s="1">
        <f>Rounds!$B$25</f>
      </c>
    </row>
    <row r="10">
      <c r="A10" t="inlineStr">
        <is>
          <t xml:space="preserve">Target band</t>
        </is>
      </c>
      <c r="B10" t="inlineStr">
        <is>
          <t xml:space="preserve">rounds 8–10</t>
        </is>
      </c>
      <c r="C10" s="3" t="inlineStr">
        <is>
          <t xml:space="preserve">Set by BUILD_PLAN.md Milestone 1.</t>
        </is>
      </c>
    </row>
    <row r="11">
      <c r="A11" s="1" t="inlineStr">
        <is>
          <t xml:space="preserve">In band?</t>
        </is>
      </c>
      <c r="B11" s="1">
        <f>IF(AND(WallRound&gt;=8,WallRound&lt;=10),"YES — in band","NO — retune")</f>
      </c>
    </row>
    <row r="13">
      <c r="A13" s="13" t="inlineStr">
        <is>
          <t xml:space="preserve">SCORING — SPEC §2</t>
        </is>
      </c>
      <c r="B13" s="13" t="inlineStr">
        <is>
          <t xml:space="preserve"/>
        </is>
      </c>
      <c r="C13" s="13" t="inlineStr">
        <is>
          <t xml:space="preserve"/>
        </is>
      </c>
    </row>
    <row r="14">
      <c r="A14" t="inlineStr">
        <is>
          <t xml:space="preserve">Warmth per tile cleared</t>
        </is>
      </c>
      <c r="B14" s="5">
        <v>10</v>
      </c>
      <c r="C14" s="3" t="inlineStr">
        <is>
          <t xml:space="preserve">SPEC §2 table.</t>
        </is>
      </c>
    </row>
    <row r="15">
      <c r="A15" t="inlineStr">
        <is>
          <t xml:space="preserve">Match-4 bonus warmth</t>
        </is>
      </c>
      <c r="B15" s="5">
        <v>25</v>
      </c>
      <c r="C15" s="3" t="inlineStr">
        <is>
          <t xml:space="preserve">On top of the per-tile warmth.</t>
        </is>
      </c>
    </row>
    <row r="16">
      <c r="A16" t="inlineStr">
        <is>
          <t xml:space="preserve">Match-5+ bonus warmth</t>
        </is>
      </c>
      <c r="B16" s="5">
        <v>60</v>
      </c>
      <c r="C16" s="3" t="inlineStr">
        <is>
          <t xml:space="preserve">On top of the per-tile warmth.</t>
        </is>
      </c>
    </row>
    <row r="17">
      <c r="A17" t="inlineStr">
        <is>
          <t xml:space="preserve">Bliss per cascade step</t>
        </is>
      </c>
      <c r="B17" s="6">
        <v>0.2</v>
      </c>
      <c r="C17" s="3" t="inlineStr">
        <is>
          <t xml:space="preserve">Bliss starts at 1.0 each round and builds from here.</t>
        </is>
      </c>
    </row>
    <row r="19">
      <c r="A19" s="13" t="inlineStr">
        <is>
          <t xml:space="preserve">BOARD &amp; MOVES</t>
        </is>
      </c>
      <c r="B19" s="13" t="inlineStr">
        <is>
          <t xml:space="preserve"/>
        </is>
      </c>
      <c r="C19" s="13" t="inlineStr">
        <is>
          <t xml:space="preserve"/>
        </is>
      </c>
    </row>
    <row r="20">
      <c r="A20" t="inlineStr">
        <is>
          <t xml:space="preserve">Move budget per round</t>
        </is>
      </c>
      <c r="B20" s="7">
        <v>20</v>
      </c>
      <c r="C20" s="3" t="inlineStr">
        <is>
          <t xml:space="preserve">A swap that makes no match is rejected, not consumed.</t>
        </is>
      </c>
    </row>
    <row r="21">
      <c r="A21" t="inlineStr">
        <is>
          <t xml:space="preserve">P(match of 3)</t>
        </is>
      </c>
      <c r="B21" s="6">
        <v>0.7</v>
      </c>
      <c r="C21" s="3" t="inlineStr">
        <is>
          <t xml:space="preserve">Match-size mix on a 7×7, 5-colour board. Revisit against the harness at Milestone 4.</t>
        </is>
      </c>
    </row>
    <row r="22">
      <c r="A22" t="inlineStr">
        <is>
          <t xml:space="preserve">P(match of 4)</t>
        </is>
      </c>
      <c r="B22" s="6">
        <v>0.22</v>
      </c>
    </row>
    <row r="23">
      <c r="A23" t="inlineStr">
        <is>
          <t xml:space="preserve">P(match of 5+)</t>
        </is>
      </c>
      <c r="B23" s="6">
        <v>0.08</v>
      </c>
    </row>
    <row r="24">
      <c r="A24" t="inlineStr">
        <is>
          <t xml:space="preserve">Tiles in an average 5+ match</t>
        </is>
      </c>
      <c r="B24" s="6">
        <v>5.4</v>
      </c>
    </row>
    <row r="25">
      <c r="A25" t="inlineStr">
        <is>
          <t xml:space="preserve">Cascade steps per move</t>
        </is>
      </c>
      <c r="B25" s="6">
        <v>0.6</v>
      </c>
      <c r="C25" s="3" t="inlineStr">
        <is>
          <t xml:space="preserve">Expected follow-on clears after one swap.</t>
        </is>
      </c>
    </row>
    <row r="26">
      <c r="A26" t="inlineStr">
        <is>
          <t xml:space="preserve">Tiles cleared per cascade step</t>
        </is>
      </c>
      <c r="B26" s="6">
        <v>3.3</v>
      </c>
    </row>
    <row r="27">
      <c r="A27" t="inlineStr">
        <is>
          <t xml:space="preserve">check: match probabilities</t>
        </is>
      </c>
      <c r="B27" s="10">
        <f>MatchP3+MatchP4+MatchP5</f>
      </c>
      <c r="C27" s="3">
        <f>IF(ABS(B27-1)&lt;0.0001,"ok","must sum to 1")</f>
      </c>
    </row>
    <row r="29">
      <c r="A29" s="13" t="inlineStr">
        <is>
          <t xml:space="preserve">ROUND TARGETS</t>
        </is>
      </c>
      <c r="B29" s="13" t="inlineStr">
        <is>
          <t xml:space="preserve"/>
        </is>
      </c>
      <c r="C29" s="13" t="inlineStr">
        <is>
          <t xml:space="preserve"/>
        </is>
      </c>
    </row>
    <row r="30">
      <c r="A30" t="inlineStr">
        <is>
          <t xml:space="preserve">Round 1 target</t>
        </is>
      </c>
      <c r="B30" s="7">
        <v>1400</v>
      </c>
      <c r="C30" s="3" t="inlineStr">
        <is>
          <t xml:space="preserve">Sets the whole curve's headroom.</t>
        </is>
      </c>
    </row>
    <row r="31">
      <c r="A31" t="inlineStr">
        <is>
          <t xml:space="preserve">Target growth per round</t>
        </is>
      </c>
      <c r="B31" s="6">
        <v>1.6</v>
      </c>
      <c r="C31" s="3" t="inlineStr">
        <is>
          <t xml:space="preserve">SPEC §2 starts at 1.6×. The wall band is what tunes it.</t>
        </is>
      </c>
    </row>
    <row r="33">
      <c r="A33" s="13" t="inlineStr">
        <is>
          <t xml:space="preserve">LONG SOAK</t>
        </is>
      </c>
      <c r="B33" s="13" t="inlineStr">
        <is>
          <t xml:space="preserve"/>
        </is>
      </c>
      <c r="C33" s="13" t="inlineStr">
        <is>
          <t xml:space="preserve"/>
        </is>
      </c>
    </row>
    <row r="34">
      <c r="A34" t="inlineStr">
        <is>
          <t xml:space="preserve">Long Soak every N rounds</t>
        </is>
      </c>
      <c r="B34" s="7">
        <v>3</v>
      </c>
      <c r="C34" s="3" t="inlineStr">
        <is>
          <t xml:space="preserve">SPEC §1: every 3rd round is the boss equivalent.</t>
        </is>
      </c>
    </row>
    <row r="35">
      <c r="A35" t="inlineStr">
        <is>
          <t xml:space="preserve">Long Soak score penalty</t>
        </is>
      </c>
      <c r="B35" s="6">
        <v>0.75</v>
      </c>
      <c r="C35" s="3" t="inlineStr">
        <is>
          <t xml:space="preserve">What the modifier costs an average build. "No cascades count" is far harsher than "petals score nothing" — this is their average.</t>
        </is>
      </c>
    </row>
    <row r="37">
      <c r="A37" s="13" t="inlineStr">
        <is>
          <t xml:space="preserve">PLAYER MODEL</t>
        </is>
      </c>
      <c r="B37" s="13" t="inlineStr">
        <is>
          <t xml:space="preserve"/>
        </is>
      </c>
      <c r="C37" s="13" t="inlineStr">
        <is>
          <t xml:space="preserve"/>
        </is>
      </c>
    </row>
    <row r="38">
      <c r="A38" t="inlineStr">
        <is>
          <t xml:space="preserve">Average player skill factor</t>
        </is>
      </c>
      <c r="B38" s="6">
        <v>0.8</v>
      </c>
      <c r="C38" s="3" t="inlineStr">
        <is>
          <t xml:space="preserve">Fraction of the theoretical board output an average player actually finds.</t>
        </is>
      </c>
    </row>
    <row r="39">
      <c r="A39" t="inlineStr">
        <is>
          <t xml:space="preserve">Score gain per charm owned</t>
        </is>
      </c>
      <c r="B39" s="6">
        <v>0.45</v>
      </c>
      <c r="C39" s="3" t="inlineStr">
        <is>
          <t xml:space="preserve">Compounds: a charm is drafted after every cleared round. THE most sensitive input in the sheet — see Sensitivity.</t>
        </is>
      </c>
    </row>
    <row r="40">
      <c r="A40" t="inlineStr">
        <is>
          <t xml:space="preserve">"Comfortable clear" difficulty ceiling</t>
        </is>
      </c>
      <c r="B40" s="6">
        <v>0.75</v>
      </c>
      <c r="C40" s="3" t="inlineStr">
        <is>
          <t xml:space="preserve">Below this a round reads GREEN in the share grid; above it, YELLOW (SPEC §4).</t>
        </is>
      </c>
    </row>
    <row r="42">
      <c r="A42" s="13" t="inlineStr">
        <is>
          <t xml:space="preserve">PACING</t>
        </is>
      </c>
      <c r="B42" s="13" t="inlineStr">
        <is>
          <t xml:space="preserve"/>
        </is>
      </c>
      <c r="C42" s="13" t="inlineStr">
        <is>
          <t xml:space="preserve"/>
        </is>
      </c>
    </row>
    <row r="43">
      <c r="A43" t="inlineStr">
        <is>
          <t xml:space="preserve">Seconds per move</t>
        </is>
      </c>
      <c r="B43" s="7">
        <v>4</v>
      </c>
      <c r="C43" s="3" t="inlineStr">
        <is>
          <t xml:space="preserve">Includes the player looking for the match.</t>
        </is>
      </c>
    </row>
    <row r="44">
      <c r="A44" t="inlineStr">
        <is>
          <t xml:space="preserve">Seconds per charm draft</t>
        </is>
      </c>
      <c r="B44" s="7">
        <v>8</v>
      </c>
    </row>
    <row r="46">
      <c r="A46" s="13" t="inlineStr">
        <is>
          <t xml:space="preserve">DERIVED — do not edit</t>
        </is>
      </c>
      <c r="B46" s="13" t="inlineStr">
        <is>
          <t xml:space="preserve"/>
        </is>
      </c>
      <c r="C46" s="13" t="inlineStr">
        <is>
          <t xml:space="preserve"/>
        </is>
      </c>
    </row>
    <row r="47">
      <c r="A47" t="inlineStr">
        <is>
          <t xml:space="preserve">Tiles in the initial match</t>
        </is>
      </c>
      <c r="B47" s="9">
        <f>3*MatchP3+4*MatchP4+Tiles5Plus*MatchP5</f>
      </c>
    </row>
    <row r="48">
      <c r="A48" t="inlineStr">
        <is>
          <t xml:space="preserve">Tiles cleared per move</t>
        </is>
      </c>
      <c r="B48" s="9">
        <f>TilesInMatch+CascadeSteps*CascadeTiles</f>
      </c>
      <c r="C48" s="3" t="inlineStr">
        <is>
          <t xml:space="preserve">Initial match plus its cascade.</t>
        </is>
      </c>
    </row>
    <row r="49">
      <c r="A49" t="inlineStr">
        <is>
          <t xml:space="preserve">Warmth per move</t>
        </is>
      </c>
      <c r="B49" s="9">
        <f>TilesPerMove*WarmthPerTile+MatchP4*Match4Bonus+MatchP5*Match5Bonus</f>
      </c>
    </row>
    <row r="50">
      <c r="A50" t="inlineStr">
        <is>
          <t xml:space="preserve">Bliss gained per move</t>
        </is>
      </c>
      <c r="B50" s="9">
        <f>CascadeSteps*BlissPerCascade</f>
      </c>
    </row>
    <row r="51">
      <c r="A51" t="inlineStr">
        <is>
          <t xml:space="preserve">Bliss at the end of a full round</t>
        </is>
      </c>
      <c r="B51" s="9">
        <f>1+BlissPerMove*MoveBudget</f>
      </c>
      <c r="C51" s="3" t="inlineStr">
        <is>
          <t xml:space="preserve">The multiplier the round's whole warmth total is multiplied by.</t>
        </is>
      </c>
    </row>
    <row r="52">
      <c r="A52" s="1" t="inlineStr">
        <is>
          <t xml:space="preserve">Scoring model</t>
        </is>
      </c>
      <c r="B52" s="1" t="inlineStr">
        <is>
          <t xml:space="preserve">accumulate, multiply once</t>
        </is>
      </c>
      <c r="C52" s="3" t="inlineStr">
        <is>
          <t xml:space="preserve">SETTLED: round score = (total Warmth) × (final Bliss), multiplied once at round end. Every charm in SPEC §3 works under this reading, including Patient Soak. src/scoring.ts implements exactly this.</t>
        </is>
      </c>
    </row>
  </sheetData>
</worksheet>
</file>

<file path=xl/worksheets/sheet2.xml><?xml version="1.0" encoding="utf-8"?>
<worksheet xmlns="http://schemas.openxmlformats.org/spreadsheetml/2006/main">
  <cols>
    <col min="1" max="1" width="7" customWidth="1"/>
    <col min="2" max="2" width="11" customWidth="1"/>
    <col min="3" max="3" width="8" customWidth="1"/>
    <col min="4" max="4" width="9" customWidth="1"/>
    <col min="5" max="5" width="18" customWidth="1"/>
    <col min="6" max="6" width="15" customWidth="1"/>
    <col min="7" max="7" width="16" customWidth="1"/>
    <col min="8" max="8" width="14" customWidth="1"/>
    <col min="9" max="9" width="11" customWidth="1"/>
    <col min="10" max="10" width="13" customWidth="1"/>
    <col min="11" max="11" width="12" customWidth="1"/>
    <col min="12" max="12" width="9" customWidth="1"/>
    <col min="13" max="13" width="9" customWidth="1"/>
    <col min="14" max="14" width="15" customWidth="1"/>
    <col min="15" max="15" width="12" customWidth="1"/>
  </cols>
  <sheetData>
    <row r="1">
      <c r="A1" s="2" t="inlineStr">
        <is>
          <t xml:space="preserve">ROUNDS 1–15 — AVERAGE PLAYER</t>
        </is>
      </c>
    </row>
    <row r="2">
      <c r="A2" s="3" t="inlineStr">
        <is>
          <t xml:space="preserve">Round score = (all the round's Warmth) × (the Bliss standing at round end). Warmth and Bliss both accumulate across the round; the multiply happens once. Milestone 3 implements this and pins these numbers as acceptance tests.</t>
        </is>
      </c>
    </row>
    <row r="4">
      <c r="A4" s="4" t="inlineStr">
        <is>
          <t xml:space="preserve">Round</t>
        </is>
      </c>
      <c r="B4" s="4" t="inlineStr">
        <is>
          <t xml:space="preserve">Long Soak</t>
        </is>
      </c>
      <c r="C4" s="4" t="inlineStr">
        <is>
          <t xml:space="preserve">Soak ×</t>
        </is>
      </c>
      <c r="D4" s="4" t="inlineStr">
        <is>
          <t xml:space="preserve">Charm ×</t>
        </is>
      </c>
      <c r="E4" s="4" t="inlineStr">
        <is>
          <t xml:space="preserve">Warmth (avg board)</t>
        </is>
      </c>
      <c r="F4" s="4" t="inlineStr">
        <is>
          <t xml:space="preserve">Bliss (round end)</t>
        </is>
      </c>
      <c r="G4" s="4" t="inlineStr">
        <is>
          <t xml:space="preserve">Expected score</t>
        </is>
      </c>
      <c r="H4" s="4" t="inlineStr">
        <is>
          <t xml:space="preserve">Target</t>
        </is>
      </c>
      <c r="I4" s="4" t="inlineStr">
        <is>
          <t xml:space="preserve">Difficulty</t>
        </is>
      </c>
      <c r="J4" s="4" t="inlineStr">
        <is>
          <t xml:space="preserve">Moves needed</t>
        </is>
      </c>
      <c r="K4" s="4" t="inlineStr">
        <is>
          <t xml:space="preserve">Moves used</t>
        </is>
      </c>
      <c r="L4" s="4" t="inlineStr">
        <is>
          <t xml:space="preserve">Verdict</t>
        </is>
      </c>
      <c r="M4" s="4" t="inlineStr">
        <is>
          <t xml:space="preserve">Seconds</t>
        </is>
      </c>
      <c r="N4" s="4" t="inlineStr">
        <is>
          <t xml:space="preserve">Score counted</t>
        </is>
      </c>
      <c r="O4" s="4" t="inlineStr">
        <is>
          <t xml:space="preserve">wall (helper)</t>
        </is>
      </c>
    </row>
    <row r="5">
      <c r="A5">
        <v>1</v>
      </c>
      <c r="B5">
        <f>IF(MOD(A5,SoakEvery)=0,"LONG SOAK","")</f>
      </c>
      <c r="C5" s="10">
        <f>IF(MOD(A5,SoakEvery)=0,SoakPenalty,1)</f>
      </c>
      <c r="D5" s="10">
        <f>(1+CharmGain)^(A5-1)</f>
      </c>
      <c r="E5" s="8">
        <f>MoveBudget*WarmthPerMove*Skill*C5</f>
      </c>
      <c r="F5" s="10">
        <f>RoundBliss</f>
      </c>
      <c r="G5" s="8">
        <f>E5*F5*D5</f>
      </c>
      <c r="H5" s="8">
        <f>TargetBase*TargetGrowth^(A5-1)</f>
      </c>
      <c r="I5" s="9">
        <f>H5/G5</f>
      </c>
      <c r="J5" s="11">
        <f>IF(BlissPerMove=0,H5/(WarmthPerMove*Skill*C5*D5),(SQRT(1+4*BlissPerMove*(H5/(WarmthPerMove*Skill*C5*D5)))-1)/(2*BlissPerMove))</f>
      </c>
      <c r="K5" s="8">
        <f>MIN(MoveBudget,CEILING(J5,1))</f>
      </c>
      <c r="L5">
        <f>IF(I5&gt;1,"RED",IF(I5&gt;GreenMax,"YELLOW","GREEN"))</f>
      </c>
      <c r="M5" s="8">
        <f>IF(OR($B$22=0,A5&lt;$B$22),K5*SecPerMove+DraftSec,IF(A5=$B$22,MoveBudget*SecPerMove,0))</f>
      </c>
      <c r="N5" s="8">
        <f>IF(OR($B$22=0,A5&lt;$B$22),H5,IF(A5=$B$22,G5,0))</f>
      </c>
      <c r="O5" s="8">
        <f>IF(I5&gt;1,A5,9999)</f>
      </c>
    </row>
    <row r="6">
      <c r="A6">
        <v>2</v>
      </c>
      <c r="B6">
        <f>IF(MOD(A6,SoakEvery)=0,"LONG SOAK","")</f>
      </c>
      <c r="C6" s="10">
        <f>IF(MOD(A6,SoakEvery)=0,SoakPenalty,1)</f>
      </c>
      <c r="D6" s="10">
        <f>(1+CharmGain)^(A6-1)</f>
      </c>
      <c r="E6" s="8">
        <f>MoveBudget*WarmthPerMove*Skill*C6</f>
      </c>
      <c r="F6" s="10">
        <f>RoundBliss</f>
      </c>
      <c r="G6" s="8">
        <f>E6*F6*D6</f>
      </c>
      <c r="H6" s="8">
        <f>TargetBase*TargetGrowth^(A6-1)</f>
      </c>
      <c r="I6" s="9">
        <f>H6/G6</f>
      </c>
      <c r="J6" s="11">
        <f>IF(BlissPerMove=0,H6/(WarmthPerMove*Skill*C6*D6),(SQRT(1+4*BlissPerMove*(H6/(WarmthPerMove*Skill*C6*D6)))-1)/(2*BlissPerMove))</f>
      </c>
      <c r="K6" s="8">
        <f>MIN(MoveBudget,CEILING(J6,1))</f>
      </c>
      <c r="L6">
        <f>IF(I6&gt;1,"RED",IF(I6&gt;GreenMax,"YELLOW","GREEN"))</f>
      </c>
      <c r="M6" s="8">
        <f>IF(OR($B$22=0,A6&lt;$B$22),K6*SecPerMove+DraftSec,IF(A6=$B$22,MoveBudget*SecPerMove,0))</f>
      </c>
      <c r="N6" s="8">
        <f>IF(OR($B$22=0,A6&lt;$B$22),H6,IF(A6=$B$22,G6,0))</f>
      </c>
      <c r="O6" s="8">
        <f>IF(I6&gt;1,A6,9999)</f>
      </c>
    </row>
    <row r="7">
      <c r="A7">
        <v>3</v>
      </c>
      <c r="B7">
        <f>IF(MOD(A7,SoakEvery)=0,"LONG SOAK","")</f>
      </c>
      <c r="C7" s="10">
        <f>IF(MOD(A7,SoakEvery)=0,SoakPenalty,1)</f>
      </c>
      <c r="D7" s="10">
        <f>(1+CharmGain)^(A7-1)</f>
      </c>
      <c r="E7" s="8">
        <f>MoveBudget*WarmthPerMove*Skill*C7</f>
      </c>
      <c r="F7" s="10">
        <f>RoundBliss</f>
      </c>
      <c r="G7" s="8">
        <f>E7*F7*D7</f>
      </c>
      <c r="H7" s="8">
        <f>TargetBase*TargetGrowth^(A7-1)</f>
      </c>
      <c r="I7" s="9">
        <f>H7/G7</f>
      </c>
      <c r="J7" s="11">
        <f>IF(BlissPerMove=0,H7/(WarmthPerMove*Skill*C7*D7),(SQRT(1+4*BlissPerMove*(H7/(WarmthPerMove*Skill*C7*D7)))-1)/(2*BlissPerMove))</f>
      </c>
      <c r="K7" s="8">
        <f>MIN(MoveBudget,CEILING(J7,1))</f>
      </c>
      <c r="L7">
        <f>IF(I7&gt;1,"RED",IF(I7&gt;GreenMax,"YELLOW","GREEN"))</f>
      </c>
      <c r="M7" s="8">
        <f>IF(OR($B$22=0,A7&lt;$B$22),K7*SecPerMove+DraftSec,IF(A7=$B$22,MoveBudget*SecPerMove,0))</f>
      </c>
      <c r="N7" s="8">
        <f>IF(OR($B$22=0,A7&lt;$B$22),H7,IF(A7=$B$22,G7,0))</f>
      </c>
      <c r="O7" s="8">
        <f>IF(I7&gt;1,A7,9999)</f>
      </c>
    </row>
    <row r="8">
      <c r="A8">
        <v>4</v>
      </c>
      <c r="B8">
        <f>IF(MOD(A8,SoakEvery)=0,"LONG SOAK","")</f>
      </c>
      <c r="C8" s="10">
        <f>IF(MOD(A8,SoakEvery)=0,SoakPenalty,1)</f>
      </c>
      <c r="D8" s="10">
        <f>(1+CharmGain)^(A8-1)</f>
      </c>
      <c r="E8" s="8">
        <f>MoveBudget*WarmthPerMove*Skill*C8</f>
      </c>
      <c r="F8" s="10">
        <f>RoundBliss</f>
      </c>
      <c r="G8" s="8">
        <f>E8*F8*D8</f>
      </c>
      <c r="H8" s="8">
        <f>TargetBase*TargetGrowth^(A8-1)</f>
      </c>
      <c r="I8" s="9">
        <f>H8/G8</f>
      </c>
      <c r="J8" s="11">
        <f>IF(BlissPerMove=0,H8/(WarmthPerMove*Skill*C8*D8),(SQRT(1+4*BlissPerMove*(H8/(WarmthPerMove*Skill*C8*D8)))-1)/(2*BlissPerMove))</f>
      </c>
      <c r="K8" s="8">
        <f>MIN(MoveBudget,CEILING(J8,1))</f>
      </c>
      <c r="L8">
        <f>IF(I8&gt;1,"RED",IF(I8&gt;GreenMax,"YELLOW","GREEN"))</f>
      </c>
      <c r="M8" s="8">
        <f>IF(OR($B$22=0,A8&lt;$B$22),K8*SecPerMove+DraftSec,IF(A8=$B$22,MoveBudget*SecPerMove,0))</f>
      </c>
      <c r="N8" s="8">
        <f>IF(OR($B$22=0,A8&lt;$B$22),H8,IF(A8=$B$22,G8,0))</f>
      </c>
      <c r="O8" s="8">
        <f>IF(I8&gt;1,A8,9999)</f>
      </c>
    </row>
    <row r="9">
      <c r="A9">
        <v>5</v>
      </c>
      <c r="B9">
        <f>IF(MOD(A9,SoakEvery)=0,"LONG SOAK","")</f>
      </c>
      <c r="C9" s="10">
        <f>IF(MOD(A9,SoakEvery)=0,SoakPenalty,1)</f>
      </c>
      <c r="D9" s="10">
        <f>(1+CharmGain)^(A9-1)</f>
      </c>
      <c r="E9" s="8">
        <f>MoveBudget*WarmthPerMove*Skill*C9</f>
      </c>
      <c r="F9" s="10">
        <f>RoundBliss</f>
      </c>
      <c r="G9" s="8">
        <f>E9*F9*D9</f>
      </c>
      <c r="H9" s="8">
        <f>TargetBase*TargetGrowth^(A9-1)</f>
      </c>
      <c r="I9" s="9">
        <f>H9/G9</f>
      </c>
      <c r="J9" s="11">
        <f>IF(BlissPerMove=0,H9/(WarmthPerMove*Skill*C9*D9),(SQRT(1+4*BlissPerMove*(H9/(WarmthPerMove*Skill*C9*D9)))-1)/(2*BlissPerMove))</f>
      </c>
      <c r="K9" s="8">
        <f>MIN(MoveBudget,CEILING(J9,1))</f>
      </c>
      <c r="L9">
        <f>IF(I9&gt;1,"RED",IF(I9&gt;GreenMax,"YELLOW","GREEN"))</f>
      </c>
      <c r="M9" s="8">
        <f>IF(OR($B$22=0,A9&lt;$B$22),K9*SecPerMove+DraftSec,IF(A9=$B$22,MoveBudget*SecPerMove,0))</f>
      </c>
      <c r="N9" s="8">
        <f>IF(OR($B$22=0,A9&lt;$B$22),H9,IF(A9=$B$22,G9,0))</f>
      </c>
      <c r="O9" s="8">
        <f>IF(I9&gt;1,A9,9999)</f>
      </c>
    </row>
    <row r="10">
      <c r="A10">
        <v>6</v>
      </c>
      <c r="B10">
        <f>IF(MOD(A10,SoakEvery)=0,"LONG SOAK","")</f>
      </c>
      <c r="C10" s="10">
        <f>IF(MOD(A10,SoakEvery)=0,SoakPenalty,1)</f>
      </c>
      <c r="D10" s="10">
        <f>(1+CharmGain)^(A10-1)</f>
      </c>
      <c r="E10" s="8">
        <f>MoveBudget*WarmthPerMove*Skill*C10</f>
      </c>
      <c r="F10" s="10">
        <f>RoundBliss</f>
      </c>
      <c r="G10" s="8">
        <f>E10*F10*D10</f>
      </c>
      <c r="H10" s="8">
        <f>TargetBase*TargetGrowth^(A10-1)</f>
      </c>
      <c r="I10" s="9">
        <f>H10/G10</f>
      </c>
      <c r="J10" s="11">
        <f>IF(BlissPerMove=0,H10/(WarmthPerMove*Skill*C10*D10),(SQRT(1+4*BlissPerMove*(H10/(WarmthPerMove*Skill*C10*D10)))-1)/(2*BlissPerMove))</f>
      </c>
      <c r="K10" s="8">
        <f>MIN(MoveBudget,CEILING(J10,1))</f>
      </c>
      <c r="L10">
        <f>IF(I10&gt;1,"RED",IF(I10&gt;GreenMax,"YELLOW","GREEN"))</f>
      </c>
      <c r="M10" s="8">
        <f>IF(OR($B$22=0,A10&lt;$B$22),K10*SecPerMove+DraftSec,IF(A10=$B$22,MoveBudget*SecPerMove,0))</f>
      </c>
      <c r="N10" s="8">
        <f>IF(OR($B$22=0,A10&lt;$B$22),H10,IF(A10=$B$22,G10,0))</f>
      </c>
      <c r="O10" s="8">
        <f>IF(I10&gt;1,A10,9999)</f>
      </c>
    </row>
    <row r="11">
      <c r="A11">
        <v>7</v>
      </c>
      <c r="B11">
        <f>IF(MOD(A11,SoakEvery)=0,"LONG SOAK","")</f>
      </c>
      <c r="C11" s="10">
        <f>IF(MOD(A11,SoakEvery)=0,SoakPenalty,1)</f>
      </c>
      <c r="D11" s="10">
        <f>(1+CharmGain)^(A11-1)</f>
      </c>
      <c r="E11" s="8">
        <f>MoveBudget*WarmthPerMove*Skill*C11</f>
      </c>
      <c r="F11" s="10">
        <f>RoundBliss</f>
      </c>
      <c r="G11" s="8">
        <f>E11*F11*D11</f>
      </c>
      <c r="H11" s="8">
        <f>TargetBase*TargetGrowth^(A11-1)</f>
      </c>
      <c r="I11" s="9">
        <f>H11/G11</f>
      </c>
      <c r="J11" s="11">
        <f>IF(BlissPerMove=0,H11/(WarmthPerMove*Skill*C11*D11),(SQRT(1+4*BlissPerMove*(H11/(WarmthPerMove*Skill*C11*D11)))-1)/(2*BlissPerMove))</f>
      </c>
      <c r="K11" s="8">
        <f>MIN(MoveBudget,CEILING(J11,1))</f>
      </c>
      <c r="L11">
        <f>IF(I11&gt;1,"RED",IF(I11&gt;GreenMax,"YELLOW","GREEN"))</f>
      </c>
      <c r="M11" s="8">
        <f>IF(OR($B$22=0,A11&lt;$B$22),K11*SecPerMove+DraftSec,IF(A11=$B$22,MoveBudget*SecPerMove,0))</f>
      </c>
      <c r="N11" s="8">
        <f>IF(OR($B$22=0,A11&lt;$B$22),H11,IF(A11=$B$22,G11,0))</f>
      </c>
      <c r="O11" s="8">
        <f>IF(I11&gt;1,A11,9999)</f>
      </c>
    </row>
    <row r="12">
      <c r="A12">
        <v>8</v>
      </c>
      <c r="B12">
        <f>IF(MOD(A12,SoakEvery)=0,"LONG SOAK","")</f>
      </c>
      <c r="C12" s="10">
        <f>IF(MOD(A12,SoakEvery)=0,SoakPenalty,1)</f>
      </c>
      <c r="D12" s="10">
        <f>(1+CharmGain)^(A12-1)</f>
      </c>
      <c r="E12" s="8">
        <f>MoveBudget*WarmthPerMove*Skill*C12</f>
      </c>
      <c r="F12" s="10">
        <f>RoundBliss</f>
      </c>
      <c r="G12" s="8">
        <f>E12*F12*D12</f>
      </c>
      <c r="H12" s="8">
        <f>TargetBase*TargetGrowth^(A12-1)</f>
      </c>
      <c r="I12" s="9">
        <f>H12/G12</f>
      </c>
      <c r="J12" s="11">
        <f>IF(BlissPerMove=0,H12/(WarmthPerMove*Skill*C12*D12),(SQRT(1+4*BlissPerMove*(H12/(WarmthPerMove*Skill*C12*D12)))-1)/(2*BlissPerMove))</f>
      </c>
      <c r="K12" s="8">
        <f>MIN(MoveBudget,CEILING(J12,1))</f>
      </c>
      <c r="L12">
        <f>IF(I12&gt;1,"RED",IF(I12&gt;GreenMax,"YELLOW","GREEN"))</f>
      </c>
      <c r="M12" s="8">
        <f>IF(OR($B$22=0,A12&lt;$B$22),K12*SecPerMove+DraftSec,IF(A12=$B$22,MoveBudget*SecPerMove,0))</f>
      </c>
      <c r="N12" s="8">
        <f>IF(OR($B$22=0,A12&lt;$B$22),H12,IF(A12=$B$22,G12,0))</f>
      </c>
      <c r="O12" s="8">
        <f>IF(I12&gt;1,A12,9999)</f>
      </c>
    </row>
    <row r="13">
      <c r="A13">
        <v>9</v>
      </c>
      <c r="B13">
        <f>IF(MOD(A13,SoakEvery)=0,"LONG SOAK","")</f>
      </c>
      <c r="C13" s="10">
        <f>IF(MOD(A13,SoakEvery)=0,SoakPenalty,1)</f>
      </c>
      <c r="D13" s="10">
        <f>(1+CharmGain)^(A13-1)</f>
      </c>
      <c r="E13" s="8">
        <f>MoveBudget*WarmthPerMove*Skill*C13</f>
      </c>
      <c r="F13" s="10">
        <f>RoundBliss</f>
      </c>
      <c r="G13" s="8">
        <f>E13*F13*D13</f>
      </c>
      <c r="H13" s="8">
        <f>TargetBase*TargetGrowth^(A13-1)</f>
      </c>
      <c r="I13" s="9">
        <f>H13/G13</f>
      </c>
      <c r="J13" s="11">
        <f>IF(BlissPerMove=0,H13/(WarmthPerMove*Skill*C13*D13),(SQRT(1+4*BlissPerMove*(H13/(WarmthPerMove*Skill*C13*D13)))-1)/(2*BlissPerMove))</f>
      </c>
      <c r="K13" s="8">
        <f>MIN(MoveBudget,CEILING(J13,1))</f>
      </c>
      <c r="L13">
        <f>IF(I13&gt;1,"RED",IF(I13&gt;GreenMax,"YELLOW","GREEN"))</f>
      </c>
      <c r="M13" s="8">
        <f>IF(OR($B$22=0,A13&lt;$B$22),K13*SecPerMove+DraftSec,IF(A13=$B$22,MoveBudget*SecPerMove,0))</f>
      </c>
      <c r="N13" s="8">
        <f>IF(OR($B$22=0,A13&lt;$B$22),H13,IF(A13=$B$22,G13,0))</f>
      </c>
      <c r="O13" s="8">
        <f>IF(I13&gt;1,A13,9999)</f>
      </c>
    </row>
    <row r="14">
      <c r="A14">
        <v>10</v>
      </c>
      <c r="B14">
        <f>IF(MOD(A14,SoakEvery)=0,"LONG SOAK","")</f>
      </c>
      <c r="C14" s="10">
        <f>IF(MOD(A14,SoakEvery)=0,SoakPenalty,1)</f>
      </c>
      <c r="D14" s="10">
        <f>(1+CharmGain)^(A14-1)</f>
      </c>
      <c r="E14" s="8">
        <f>MoveBudget*WarmthPerMove*Skill*C14</f>
      </c>
      <c r="F14" s="10">
        <f>RoundBliss</f>
      </c>
      <c r="G14" s="8">
        <f>E14*F14*D14</f>
      </c>
      <c r="H14" s="8">
        <f>TargetBase*TargetGrowth^(A14-1)</f>
      </c>
      <c r="I14" s="9">
        <f>H14/G14</f>
      </c>
      <c r="J14" s="11">
        <f>IF(BlissPerMove=0,H14/(WarmthPerMove*Skill*C14*D14),(SQRT(1+4*BlissPerMove*(H14/(WarmthPerMove*Skill*C14*D14)))-1)/(2*BlissPerMove))</f>
      </c>
      <c r="K14" s="8">
        <f>MIN(MoveBudget,CEILING(J14,1))</f>
      </c>
      <c r="L14">
        <f>IF(I14&gt;1,"RED",IF(I14&gt;GreenMax,"YELLOW","GREEN"))</f>
      </c>
      <c r="M14" s="8">
        <f>IF(OR($B$22=0,A14&lt;$B$22),K14*SecPerMove+DraftSec,IF(A14=$B$22,MoveBudget*SecPerMove,0))</f>
      </c>
      <c r="N14" s="8">
        <f>IF(OR($B$22=0,A14&lt;$B$22),H14,IF(A14=$B$22,G14,0))</f>
      </c>
      <c r="O14" s="8">
        <f>IF(I14&gt;1,A14,9999)</f>
      </c>
    </row>
    <row r="15">
      <c r="A15">
        <v>11</v>
      </c>
      <c r="B15">
        <f>IF(MOD(A15,SoakEvery)=0,"LONG SOAK","")</f>
      </c>
      <c r="C15" s="10">
        <f>IF(MOD(A15,SoakEvery)=0,SoakPenalty,1)</f>
      </c>
      <c r="D15" s="10">
        <f>(1+CharmGain)^(A15-1)</f>
      </c>
      <c r="E15" s="8">
        <f>MoveBudget*WarmthPerMove*Skill*C15</f>
      </c>
      <c r="F15" s="10">
        <f>RoundBliss</f>
      </c>
      <c r="G15" s="8">
        <f>E15*F15*D15</f>
      </c>
      <c r="H15" s="8">
        <f>TargetBase*TargetGrowth^(A15-1)</f>
      </c>
      <c r="I15" s="9">
        <f>H15/G15</f>
      </c>
      <c r="J15" s="11">
        <f>IF(BlissPerMove=0,H15/(WarmthPerMove*Skill*C15*D15),(SQRT(1+4*BlissPerMove*(H15/(WarmthPerMove*Skill*C15*D15)))-1)/(2*BlissPerMove))</f>
      </c>
      <c r="K15" s="8">
        <f>MIN(MoveBudget,CEILING(J15,1))</f>
      </c>
      <c r="L15">
        <f>IF(I15&gt;1,"RED",IF(I15&gt;GreenMax,"YELLOW","GREEN"))</f>
      </c>
      <c r="M15" s="8">
        <f>IF(OR($B$22=0,A15&lt;$B$22),K15*SecPerMove+DraftSec,IF(A15=$B$22,MoveBudget*SecPerMove,0))</f>
      </c>
      <c r="N15" s="8">
        <f>IF(OR($B$22=0,A15&lt;$B$22),H15,IF(A15=$B$22,G15,0))</f>
      </c>
      <c r="O15" s="8">
        <f>IF(I15&gt;1,A15,9999)</f>
      </c>
    </row>
    <row r="16">
      <c r="A16">
        <v>12</v>
      </c>
      <c r="B16">
        <f>IF(MOD(A16,SoakEvery)=0,"LONG SOAK","")</f>
      </c>
      <c r="C16" s="10">
        <f>IF(MOD(A16,SoakEvery)=0,SoakPenalty,1)</f>
      </c>
      <c r="D16" s="10">
        <f>(1+CharmGain)^(A16-1)</f>
      </c>
      <c r="E16" s="8">
        <f>MoveBudget*WarmthPerMove*Skill*C16</f>
      </c>
      <c r="F16" s="10">
        <f>RoundBliss</f>
      </c>
      <c r="G16" s="8">
        <f>E16*F16*D16</f>
      </c>
      <c r="H16" s="8">
        <f>TargetBase*TargetGrowth^(A16-1)</f>
      </c>
      <c r="I16" s="9">
        <f>H16/G16</f>
      </c>
      <c r="J16" s="11">
        <f>IF(BlissPerMove=0,H16/(WarmthPerMove*Skill*C16*D16),(SQRT(1+4*BlissPerMove*(H16/(WarmthPerMove*Skill*C16*D16)))-1)/(2*BlissPerMove))</f>
      </c>
      <c r="K16" s="8">
        <f>MIN(MoveBudget,CEILING(J16,1))</f>
      </c>
      <c r="L16">
        <f>IF(I16&gt;1,"RED",IF(I16&gt;GreenMax,"YELLOW","GREEN"))</f>
      </c>
      <c r="M16" s="8">
        <f>IF(OR($B$22=0,A16&lt;$B$22),K16*SecPerMove+DraftSec,IF(A16=$B$22,MoveBudget*SecPerMove,0))</f>
      </c>
      <c r="N16" s="8">
        <f>IF(OR($B$22=0,A16&lt;$B$22),H16,IF(A16=$B$22,G16,0))</f>
      </c>
      <c r="O16" s="8">
        <f>IF(I16&gt;1,A16,9999)</f>
      </c>
    </row>
    <row r="17">
      <c r="A17">
        <v>13</v>
      </c>
      <c r="B17">
        <f>IF(MOD(A17,SoakEvery)=0,"LONG SOAK","")</f>
      </c>
      <c r="C17" s="10">
        <f>IF(MOD(A17,SoakEvery)=0,SoakPenalty,1)</f>
      </c>
      <c r="D17" s="10">
        <f>(1+CharmGain)^(A17-1)</f>
      </c>
      <c r="E17" s="8">
        <f>MoveBudget*WarmthPerMove*Skill*C17</f>
      </c>
      <c r="F17" s="10">
        <f>RoundBliss</f>
      </c>
      <c r="G17" s="8">
        <f>E17*F17*D17</f>
      </c>
      <c r="H17" s="8">
        <f>TargetBase*TargetGrowth^(A17-1)</f>
      </c>
      <c r="I17" s="9">
        <f>H17/G17</f>
      </c>
      <c r="J17" s="11">
        <f>IF(BlissPerMove=0,H17/(WarmthPerMove*Skill*C17*D17),(SQRT(1+4*BlissPerMove*(H17/(WarmthPerMove*Skill*C17*D17)))-1)/(2*BlissPerMove))</f>
      </c>
      <c r="K17" s="8">
        <f>MIN(MoveBudget,CEILING(J17,1))</f>
      </c>
      <c r="L17">
        <f>IF(I17&gt;1,"RED",IF(I17&gt;GreenMax,"YELLOW","GREEN"))</f>
      </c>
      <c r="M17" s="8">
        <f>IF(OR($B$22=0,A17&lt;$B$22),K17*SecPerMove+DraftSec,IF(A17=$B$22,MoveBudget*SecPerMove,0))</f>
      </c>
      <c r="N17" s="8">
        <f>IF(OR($B$22=0,A17&lt;$B$22),H17,IF(A17=$B$22,G17,0))</f>
      </c>
      <c r="O17" s="8">
        <f>IF(I17&gt;1,A17,9999)</f>
      </c>
    </row>
    <row r="18">
      <c r="A18">
        <v>14</v>
      </c>
      <c r="B18">
        <f>IF(MOD(A18,SoakEvery)=0,"LONG SOAK","")</f>
      </c>
      <c r="C18" s="10">
        <f>IF(MOD(A18,SoakEvery)=0,SoakPenalty,1)</f>
      </c>
      <c r="D18" s="10">
        <f>(1+CharmGain)^(A18-1)</f>
      </c>
      <c r="E18" s="8">
        <f>MoveBudget*WarmthPerMove*Skill*C18</f>
      </c>
      <c r="F18" s="10">
        <f>RoundBliss</f>
      </c>
      <c r="G18" s="8">
        <f>E18*F18*D18</f>
      </c>
      <c r="H18" s="8">
        <f>TargetBase*TargetGrowth^(A18-1)</f>
      </c>
      <c r="I18" s="9">
        <f>H18/G18</f>
      </c>
      <c r="J18" s="11">
        <f>IF(BlissPerMove=0,H18/(WarmthPerMove*Skill*C18*D18),(SQRT(1+4*BlissPerMove*(H18/(WarmthPerMove*Skill*C18*D18)))-1)/(2*BlissPerMove))</f>
      </c>
      <c r="K18" s="8">
        <f>MIN(MoveBudget,CEILING(J18,1))</f>
      </c>
      <c r="L18">
        <f>IF(I18&gt;1,"RED",IF(I18&gt;GreenMax,"YELLOW","GREEN"))</f>
      </c>
      <c r="M18" s="8">
        <f>IF(OR($B$22=0,A18&lt;$B$22),K18*SecPerMove+DraftSec,IF(A18=$B$22,MoveBudget*SecPerMove,0))</f>
      </c>
      <c r="N18" s="8">
        <f>IF(OR($B$22=0,A18&lt;$B$22),H18,IF(A18=$B$22,G18,0))</f>
      </c>
      <c r="O18" s="8">
        <f>IF(I18&gt;1,A18,9999)</f>
      </c>
    </row>
    <row r="19">
      <c r="A19">
        <v>15</v>
      </c>
      <c r="B19">
        <f>IF(MOD(A19,SoakEvery)=0,"LONG SOAK","")</f>
      </c>
      <c r="C19" s="10">
        <f>IF(MOD(A19,SoakEvery)=0,SoakPenalty,1)</f>
      </c>
      <c r="D19" s="10">
        <f>(1+CharmGain)^(A19-1)</f>
      </c>
      <c r="E19" s="8">
        <f>MoveBudget*WarmthPerMove*Skill*C19</f>
      </c>
      <c r="F19" s="10">
        <f>RoundBliss</f>
      </c>
      <c r="G19" s="8">
        <f>E19*F19*D19</f>
      </c>
      <c r="H19" s="8">
        <f>TargetBase*TargetGrowth^(A19-1)</f>
      </c>
      <c r="I19" s="9">
        <f>H19/G19</f>
      </c>
      <c r="J19" s="11">
        <f>IF(BlissPerMove=0,H19/(WarmthPerMove*Skill*C19*D19),(SQRT(1+4*BlissPerMove*(H19/(WarmthPerMove*Skill*C19*D19)))-1)/(2*BlissPerMove))</f>
      </c>
      <c r="K19" s="8">
        <f>MIN(MoveBudget,CEILING(J19,1))</f>
      </c>
      <c r="L19">
        <f>IF(I19&gt;1,"RED",IF(I19&gt;GreenMax,"YELLOW","GREEN"))</f>
      </c>
      <c r="M19" s="8">
        <f>IF(OR($B$22=0,A19&lt;$B$22),K19*SecPerMove+DraftSec,IF(A19=$B$22,MoveBudget*SecPerMove,0))</f>
      </c>
      <c r="N19" s="8">
        <f>IF(OR($B$22=0,A19&lt;$B$22),H19,IF(A19=$B$22,G19,0))</f>
      </c>
      <c r="O19" s="8">
        <f>IF(I19&gt;1,A19,9999)</f>
      </c>
    </row>
    <row r="21">
      <c r="A21" s="13" t="inlineStr">
        <is>
          <t xml:space="preserve">READOUTS</t>
        </is>
      </c>
      <c r="B21" s="13" t="inlineStr">
        <is>
          <t xml:space="preserve"/>
        </is>
      </c>
      <c r="C21" s="13" t="inlineStr">
        <is>
          <t xml:space="preserve"/>
        </is>
      </c>
    </row>
    <row r="22">
      <c r="A22" s="1" t="inlineStr">
        <is>
          <t xml:space="preserve">First wall (round)</t>
        </is>
      </c>
      <c r="B22" s="1">
        <f>IF(MIN($O$5:$O$19)=9999,0,MIN($O$5:$O$19))</f>
      </c>
      <c r="C22" s="3" t="inlineStr">
        <is>
          <t xml:space="preserve">0 = no wall inside 15 rounds.</t>
        </is>
      </c>
    </row>
    <row r="23">
      <c r="A23" s="1" t="inlineStr">
        <is>
          <t xml:space="preserve">Expected run length (minutes)</t>
        </is>
      </c>
      <c r="B23" s="11">
        <f>SUM($M$5:$M$19)/60</f>
      </c>
    </row>
    <row r="24">
      <c r="A24" s="1" t="inlineStr">
        <is>
          <t xml:space="preserve">Score at wall</t>
        </is>
      </c>
      <c r="B24" s="12">
        <f>SUM($N$5:$N$19)</f>
      </c>
      <c r="C24" s="3" t="inlineStr">
        <is>
          <t xml:space="preserve">Cleared rounds score their target (the player stops once it is met); the failed round scores its full-budget output.</t>
        </is>
      </c>
    </row>
    <row r="25">
      <c r="A25" s="1" t="inlineStr">
        <is>
          <t xml:space="preserve">Rounds cleared</t>
        </is>
      </c>
      <c r="B25" s="1">
        <f>IF($B$22=0,15,$B$22-1)</f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11" customWidth="1"/>
  </cols>
  <sheetData>
    <row r="1">
      <c r="A1" s="2" t="inlineStr">
        <is>
          <t xml:space="preserve">SENSITIVITY — WHERE THE WALL MOVES</t>
        </is>
      </c>
    </row>
    <row r="2">
      <c r="A2" s="3" t="inlineStr">
        <is>
          <t xml:space="preserve">Implied difficulty by round for different average charm strengths. &gt;1.00 means the average player fails that round. Everything else is held at the Assumptions values.</t>
        </is>
      </c>
    </row>
    <row r="3">
      <c r="A3" s="3" t="inlineStr">
        <is>
          <t xml:space="preserve">The wall lands almost exclusively on Long Soak rounds: the soak penalty is a bigger one-round jolt than several rounds of target drift. That is a design choice, not a bug — but it means the wall moves in steps of 3, not 1.</t>
        </is>
      </c>
    </row>
    <row r="5">
      <c r="A5" s="4" t="inlineStr">
        <is>
          <t xml:space="preserve">Gain per charm</t>
        </is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  <c r="Q5" s="4" t="inlineStr">
        <is>
          <t xml:space="preserve">First wall</t>
        </is>
      </c>
    </row>
    <row r="6">
      <c r="A6" s="6">
        <v>0.3</v>
      </c>
      <c r="B6" s="10">
        <f>TargetBase*TargetGrowth^(B$5-1)/(MoveBudget*WarmthPerMove*Skill*RoundBliss*(1+$A6)^(B$5-1)*IF(MOD(B$5,SoakEvery)=0,SoakPenalty,1))</f>
      </c>
      <c r="C6" s="10">
        <f>TargetBase*TargetGrowth^(C$5-1)/(MoveBudget*WarmthPerMove*Skill*RoundBliss*(1+$A6)^(C$5-1)*IF(MOD(C$5,SoakEvery)=0,SoakPenalty,1))</f>
      </c>
      <c r="D6" s="10">
        <f>TargetBase*TargetGrowth^(D$5-1)/(MoveBudget*WarmthPerMove*Skill*RoundBliss*(1+$A6)^(D$5-1)*IF(MOD(D$5,SoakEvery)=0,SoakPenalty,1))</f>
      </c>
      <c r="E6" s="10">
        <f>TargetBase*TargetGrowth^(E$5-1)/(MoveBudget*WarmthPerMove*Skill*RoundBliss*(1+$A6)^(E$5-1)*IF(MOD(E$5,SoakEvery)=0,SoakPenalty,1))</f>
      </c>
      <c r="F6" s="10">
        <f>TargetBase*TargetGrowth^(F$5-1)/(MoveBudget*WarmthPerMove*Skill*RoundBliss*(1+$A6)^(F$5-1)*IF(MOD(F$5,SoakEvery)=0,SoakPenalty,1))</f>
      </c>
      <c r="G6" s="10">
        <f>TargetBase*TargetGrowth^(G$5-1)/(MoveBudget*WarmthPerMove*Skill*RoundBliss*(1+$A6)^(G$5-1)*IF(MOD(G$5,SoakEvery)=0,SoakPenalty,1))</f>
      </c>
      <c r="H6" s="10">
        <f>TargetBase*TargetGrowth^(H$5-1)/(MoveBudget*WarmthPerMove*Skill*RoundBliss*(1+$A6)^(H$5-1)*IF(MOD(H$5,SoakEvery)=0,SoakPenalty,1))</f>
      </c>
      <c r="I6" s="10">
        <f>TargetBase*TargetGrowth^(I$5-1)/(MoveBudget*WarmthPerMove*Skill*RoundBliss*(1+$A6)^(I$5-1)*IF(MOD(I$5,SoakEvery)=0,SoakPenalty,1))</f>
      </c>
      <c r="J6" s="10">
        <f>TargetBase*TargetGrowth^(J$5-1)/(MoveBudget*WarmthPerMove*Skill*RoundBliss*(1+$A6)^(J$5-1)*IF(MOD(J$5,SoakEvery)=0,SoakPenalty,1))</f>
      </c>
      <c r="K6" s="10">
        <f>TargetBase*TargetGrowth^(K$5-1)/(MoveBudget*WarmthPerMove*Skill*RoundBliss*(1+$A6)^(K$5-1)*IF(MOD(K$5,SoakEvery)=0,SoakPenalty,1))</f>
      </c>
      <c r="L6" s="10">
        <f>TargetBase*TargetGrowth^(L$5-1)/(MoveBudget*WarmthPerMove*Skill*RoundBliss*(1+$A6)^(L$5-1)*IF(MOD(L$5,SoakEvery)=0,SoakPenalty,1))</f>
      </c>
      <c r="M6" s="10">
        <f>TargetBase*TargetGrowth^(M$5-1)/(MoveBudget*WarmthPerMove*Skill*RoundBliss*(1+$A6)^(M$5-1)*IF(MOD(M$5,SoakEvery)=0,SoakPenalty,1))</f>
      </c>
      <c r="N6" s="10">
        <f>TargetBase*TargetGrowth^(N$5-1)/(MoveBudget*WarmthPerMove*Skill*RoundBliss*(1+$A6)^(N$5-1)*IF(MOD(N$5,SoakEvery)=0,SoakPenalty,1))</f>
      </c>
      <c r="O6" s="10">
        <f>TargetBase*TargetGrowth^(O$5-1)/(MoveBudget*WarmthPerMove*Skill*RoundBliss*(1+$A6)^(O$5-1)*IF(MOD(O$5,SoakEvery)=0,SoakPenalty,1))</f>
      </c>
      <c r="P6" s="10">
        <f>TargetBase*TargetGrowth^(P$5-1)/(MoveBudget*WarmthPerMove*Skill*RoundBliss*(1+$A6)^(P$5-1)*IF(MOD(P$5,SoakEvery)=0,SoakPenalty,1))</f>
      </c>
      <c r="Q6" s="1">
        <f>IFERROR(MATCH(TRUE,INDEX(B6:P6&gt;1,0),0),0)</f>
      </c>
    </row>
    <row r="7">
      <c r="A7" s="6">
        <v>0.35</v>
      </c>
      <c r="B7" s="10">
        <f>TargetBase*TargetGrowth^(B$5-1)/(MoveBudget*WarmthPerMove*Skill*RoundBliss*(1+$A7)^(B$5-1)*IF(MOD(B$5,SoakEvery)=0,SoakPenalty,1))</f>
      </c>
      <c r="C7" s="10">
        <f>TargetBase*TargetGrowth^(C$5-1)/(MoveBudget*WarmthPerMove*Skill*RoundBliss*(1+$A7)^(C$5-1)*IF(MOD(C$5,SoakEvery)=0,SoakPenalty,1))</f>
      </c>
      <c r="D7" s="10">
        <f>TargetBase*TargetGrowth^(D$5-1)/(MoveBudget*WarmthPerMove*Skill*RoundBliss*(1+$A7)^(D$5-1)*IF(MOD(D$5,SoakEvery)=0,SoakPenalty,1))</f>
      </c>
      <c r="E7" s="10">
        <f>TargetBase*TargetGrowth^(E$5-1)/(MoveBudget*WarmthPerMove*Skill*RoundBliss*(1+$A7)^(E$5-1)*IF(MOD(E$5,SoakEvery)=0,SoakPenalty,1))</f>
      </c>
      <c r="F7" s="10">
        <f>TargetBase*TargetGrowth^(F$5-1)/(MoveBudget*WarmthPerMove*Skill*RoundBliss*(1+$A7)^(F$5-1)*IF(MOD(F$5,SoakEvery)=0,SoakPenalty,1))</f>
      </c>
      <c r="G7" s="10">
        <f>TargetBase*TargetGrowth^(G$5-1)/(MoveBudget*WarmthPerMove*Skill*RoundBliss*(1+$A7)^(G$5-1)*IF(MOD(G$5,SoakEvery)=0,SoakPenalty,1))</f>
      </c>
      <c r="H7" s="10">
        <f>TargetBase*TargetGrowth^(H$5-1)/(MoveBudget*WarmthPerMove*Skill*RoundBliss*(1+$A7)^(H$5-1)*IF(MOD(H$5,SoakEvery)=0,SoakPenalty,1))</f>
      </c>
      <c r="I7" s="10">
        <f>TargetBase*TargetGrowth^(I$5-1)/(MoveBudget*WarmthPerMove*Skill*RoundBliss*(1+$A7)^(I$5-1)*IF(MOD(I$5,SoakEvery)=0,SoakPenalty,1))</f>
      </c>
      <c r="J7" s="10">
        <f>TargetBase*TargetGrowth^(J$5-1)/(MoveBudget*WarmthPerMove*Skill*RoundBliss*(1+$A7)^(J$5-1)*IF(MOD(J$5,SoakEvery)=0,SoakPenalty,1))</f>
      </c>
      <c r="K7" s="10">
        <f>TargetBase*TargetGrowth^(K$5-1)/(MoveBudget*WarmthPerMove*Skill*RoundBliss*(1+$A7)^(K$5-1)*IF(MOD(K$5,SoakEvery)=0,SoakPenalty,1))</f>
      </c>
      <c r="L7" s="10">
        <f>TargetBase*TargetGrowth^(L$5-1)/(MoveBudget*WarmthPerMove*Skill*RoundBliss*(1+$A7)^(L$5-1)*IF(MOD(L$5,SoakEvery)=0,SoakPenalty,1))</f>
      </c>
      <c r="M7" s="10">
        <f>TargetBase*TargetGrowth^(M$5-1)/(MoveBudget*WarmthPerMove*Skill*RoundBliss*(1+$A7)^(M$5-1)*IF(MOD(M$5,SoakEvery)=0,SoakPenalty,1))</f>
      </c>
      <c r="N7" s="10">
        <f>TargetBase*TargetGrowth^(N$5-1)/(MoveBudget*WarmthPerMove*Skill*RoundBliss*(1+$A7)^(N$5-1)*IF(MOD(N$5,SoakEvery)=0,SoakPenalty,1))</f>
      </c>
      <c r="O7" s="10">
        <f>TargetBase*TargetGrowth^(O$5-1)/(MoveBudget*WarmthPerMove*Skill*RoundBliss*(1+$A7)^(O$5-1)*IF(MOD(O$5,SoakEvery)=0,SoakPenalty,1))</f>
      </c>
      <c r="P7" s="10">
        <f>TargetBase*TargetGrowth^(P$5-1)/(MoveBudget*WarmthPerMove*Skill*RoundBliss*(1+$A7)^(P$5-1)*IF(MOD(P$5,SoakEvery)=0,SoakPenalty,1))</f>
      </c>
      <c r="Q7" s="1">
        <f>IFERROR(MATCH(TRUE,INDEX(B7:P7&gt;1,0),0),0)</f>
      </c>
    </row>
    <row r="8">
      <c r="A8" s="6">
        <v>0.4</v>
      </c>
      <c r="B8" s="10">
        <f>TargetBase*TargetGrowth^(B$5-1)/(MoveBudget*WarmthPerMove*Skill*RoundBliss*(1+$A8)^(B$5-1)*IF(MOD(B$5,SoakEvery)=0,SoakPenalty,1))</f>
      </c>
      <c r="C8" s="10">
        <f>TargetBase*TargetGrowth^(C$5-1)/(MoveBudget*WarmthPerMove*Skill*RoundBliss*(1+$A8)^(C$5-1)*IF(MOD(C$5,SoakEvery)=0,SoakPenalty,1))</f>
      </c>
      <c r="D8" s="10">
        <f>TargetBase*TargetGrowth^(D$5-1)/(MoveBudget*WarmthPerMove*Skill*RoundBliss*(1+$A8)^(D$5-1)*IF(MOD(D$5,SoakEvery)=0,SoakPenalty,1))</f>
      </c>
      <c r="E8" s="10">
        <f>TargetBase*TargetGrowth^(E$5-1)/(MoveBudget*WarmthPerMove*Skill*RoundBliss*(1+$A8)^(E$5-1)*IF(MOD(E$5,SoakEvery)=0,SoakPenalty,1))</f>
      </c>
      <c r="F8" s="10">
        <f>TargetBase*TargetGrowth^(F$5-1)/(MoveBudget*WarmthPerMove*Skill*RoundBliss*(1+$A8)^(F$5-1)*IF(MOD(F$5,SoakEvery)=0,SoakPenalty,1))</f>
      </c>
      <c r="G8" s="10">
        <f>TargetBase*TargetGrowth^(G$5-1)/(MoveBudget*WarmthPerMove*Skill*RoundBliss*(1+$A8)^(G$5-1)*IF(MOD(G$5,SoakEvery)=0,SoakPenalty,1))</f>
      </c>
      <c r="H8" s="10">
        <f>TargetBase*TargetGrowth^(H$5-1)/(MoveBudget*WarmthPerMove*Skill*RoundBliss*(1+$A8)^(H$5-1)*IF(MOD(H$5,SoakEvery)=0,SoakPenalty,1))</f>
      </c>
      <c r="I8" s="10">
        <f>TargetBase*TargetGrowth^(I$5-1)/(MoveBudget*WarmthPerMove*Skill*RoundBliss*(1+$A8)^(I$5-1)*IF(MOD(I$5,SoakEvery)=0,SoakPenalty,1))</f>
      </c>
      <c r="J8" s="10">
        <f>TargetBase*TargetGrowth^(J$5-1)/(MoveBudget*WarmthPerMove*Skill*RoundBliss*(1+$A8)^(J$5-1)*IF(MOD(J$5,SoakEvery)=0,SoakPenalty,1))</f>
      </c>
      <c r="K8" s="10">
        <f>TargetBase*TargetGrowth^(K$5-1)/(MoveBudget*WarmthPerMove*Skill*RoundBliss*(1+$A8)^(K$5-1)*IF(MOD(K$5,SoakEvery)=0,SoakPenalty,1))</f>
      </c>
      <c r="L8" s="10">
        <f>TargetBase*TargetGrowth^(L$5-1)/(MoveBudget*WarmthPerMove*Skill*RoundBliss*(1+$A8)^(L$5-1)*IF(MOD(L$5,SoakEvery)=0,SoakPenalty,1))</f>
      </c>
      <c r="M8" s="10">
        <f>TargetBase*TargetGrowth^(M$5-1)/(MoveBudget*WarmthPerMove*Skill*RoundBliss*(1+$A8)^(M$5-1)*IF(MOD(M$5,SoakEvery)=0,SoakPenalty,1))</f>
      </c>
      <c r="N8" s="10">
        <f>TargetBase*TargetGrowth^(N$5-1)/(MoveBudget*WarmthPerMove*Skill*RoundBliss*(1+$A8)^(N$5-1)*IF(MOD(N$5,SoakEvery)=0,SoakPenalty,1))</f>
      </c>
      <c r="O8" s="10">
        <f>TargetBase*TargetGrowth^(O$5-1)/(MoveBudget*WarmthPerMove*Skill*RoundBliss*(1+$A8)^(O$5-1)*IF(MOD(O$5,SoakEvery)=0,SoakPenalty,1))</f>
      </c>
      <c r="P8" s="10">
        <f>TargetBase*TargetGrowth^(P$5-1)/(MoveBudget*WarmthPerMove*Skill*RoundBliss*(1+$A8)^(P$5-1)*IF(MOD(P$5,SoakEvery)=0,SoakPenalty,1))</f>
      </c>
      <c r="Q8" s="1">
        <f>IFERROR(MATCH(TRUE,INDEX(B8:P8&gt;1,0),0),0)</f>
      </c>
    </row>
    <row r="9">
      <c r="A9" s="6">
        <v>0.42</v>
      </c>
      <c r="B9" s="10">
        <f>TargetBase*TargetGrowth^(B$5-1)/(MoveBudget*WarmthPerMove*Skill*RoundBliss*(1+$A9)^(B$5-1)*IF(MOD(B$5,SoakEvery)=0,SoakPenalty,1))</f>
      </c>
      <c r="C9" s="10">
        <f>TargetBase*TargetGrowth^(C$5-1)/(MoveBudget*WarmthPerMove*Skill*RoundBliss*(1+$A9)^(C$5-1)*IF(MOD(C$5,SoakEvery)=0,SoakPenalty,1))</f>
      </c>
      <c r="D9" s="10">
        <f>TargetBase*TargetGrowth^(D$5-1)/(MoveBudget*WarmthPerMove*Skill*RoundBliss*(1+$A9)^(D$5-1)*IF(MOD(D$5,SoakEvery)=0,SoakPenalty,1))</f>
      </c>
      <c r="E9" s="10">
        <f>TargetBase*TargetGrowth^(E$5-1)/(MoveBudget*WarmthPerMove*Skill*RoundBliss*(1+$A9)^(E$5-1)*IF(MOD(E$5,SoakEvery)=0,SoakPenalty,1))</f>
      </c>
      <c r="F9" s="10">
        <f>TargetBase*TargetGrowth^(F$5-1)/(MoveBudget*WarmthPerMove*Skill*RoundBliss*(1+$A9)^(F$5-1)*IF(MOD(F$5,SoakEvery)=0,SoakPenalty,1))</f>
      </c>
      <c r="G9" s="10">
        <f>TargetBase*TargetGrowth^(G$5-1)/(MoveBudget*WarmthPerMove*Skill*RoundBliss*(1+$A9)^(G$5-1)*IF(MOD(G$5,SoakEvery)=0,SoakPenalty,1))</f>
      </c>
      <c r="H9" s="10">
        <f>TargetBase*TargetGrowth^(H$5-1)/(MoveBudget*WarmthPerMove*Skill*RoundBliss*(1+$A9)^(H$5-1)*IF(MOD(H$5,SoakEvery)=0,SoakPenalty,1))</f>
      </c>
      <c r="I9" s="10">
        <f>TargetBase*TargetGrowth^(I$5-1)/(MoveBudget*WarmthPerMove*Skill*RoundBliss*(1+$A9)^(I$5-1)*IF(MOD(I$5,SoakEvery)=0,SoakPenalty,1))</f>
      </c>
      <c r="J9" s="10">
        <f>TargetBase*TargetGrowth^(J$5-1)/(MoveBudget*WarmthPerMove*Skill*RoundBliss*(1+$A9)^(J$5-1)*IF(MOD(J$5,SoakEvery)=0,SoakPenalty,1))</f>
      </c>
      <c r="K9" s="10">
        <f>TargetBase*TargetGrowth^(K$5-1)/(MoveBudget*WarmthPerMove*Skill*RoundBliss*(1+$A9)^(K$5-1)*IF(MOD(K$5,SoakEvery)=0,SoakPenalty,1))</f>
      </c>
      <c r="L9" s="10">
        <f>TargetBase*TargetGrowth^(L$5-1)/(MoveBudget*WarmthPerMove*Skill*RoundBliss*(1+$A9)^(L$5-1)*IF(MOD(L$5,SoakEvery)=0,SoakPenalty,1))</f>
      </c>
      <c r="M9" s="10">
        <f>TargetBase*TargetGrowth^(M$5-1)/(MoveBudget*WarmthPerMove*Skill*RoundBliss*(1+$A9)^(M$5-1)*IF(MOD(M$5,SoakEvery)=0,SoakPenalty,1))</f>
      </c>
      <c r="N9" s="10">
        <f>TargetBase*TargetGrowth^(N$5-1)/(MoveBudget*WarmthPerMove*Skill*RoundBliss*(1+$A9)^(N$5-1)*IF(MOD(N$5,SoakEvery)=0,SoakPenalty,1))</f>
      </c>
      <c r="O9" s="10">
        <f>TargetBase*TargetGrowth^(O$5-1)/(MoveBudget*WarmthPerMove*Skill*RoundBliss*(1+$A9)^(O$5-1)*IF(MOD(O$5,SoakEvery)=0,SoakPenalty,1))</f>
      </c>
      <c r="P9" s="10">
        <f>TargetBase*TargetGrowth^(P$5-1)/(MoveBudget*WarmthPerMove*Skill*RoundBliss*(1+$A9)^(P$5-1)*IF(MOD(P$5,SoakEvery)=0,SoakPenalty,1))</f>
      </c>
      <c r="Q9" s="1">
        <f>IFERROR(MATCH(TRUE,INDEX(B9:P9&gt;1,0),0),0)</f>
      </c>
    </row>
    <row r="10">
      <c r="A10" s="6">
        <v>0.45</v>
      </c>
      <c r="B10" s="10">
        <f>TargetBase*TargetGrowth^(B$5-1)/(MoveBudget*WarmthPerMove*Skill*RoundBliss*(1+$A10)^(B$5-1)*IF(MOD(B$5,SoakEvery)=0,SoakPenalty,1))</f>
      </c>
      <c r="C10" s="10">
        <f>TargetBase*TargetGrowth^(C$5-1)/(MoveBudget*WarmthPerMove*Skill*RoundBliss*(1+$A10)^(C$5-1)*IF(MOD(C$5,SoakEvery)=0,SoakPenalty,1))</f>
      </c>
      <c r="D10" s="10">
        <f>TargetBase*TargetGrowth^(D$5-1)/(MoveBudget*WarmthPerMove*Skill*RoundBliss*(1+$A10)^(D$5-1)*IF(MOD(D$5,SoakEvery)=0,SoakPenalty,1))</f>
      </c>
      <c r="E10" s="10">
        <f>TargetBase*TargetGrowth^(E$5-1)/(MoveBudget*WarmthPerMove*Skill*RoundBliss*(1+$A10)^(E$5-1)*IF(MOD(E$5,SoakEvery)=0,SoakPenalty,1))</f>
      </c>
      <c r="F10" s="10">
        <f>TargetBase*TargetGrowth^(F$5-1)/(MoveBudget*WarmthPerMove*Skill*RoundBliss*(1+$A10)^(F$5-1)*IF(MOD(F$5,SoakEvery)=0,SoakPenalty,1))</f>
      </c>
      <c r="G10" s="10">
        <f>TargetBase*TargetGrowth^(G$5-1)/(MoveBudget*WarmthPerMove*Skill*RoundBliss*(1+$A10)^(G$5-1)*IF(MOD(G$5,SoakEvery)=0,SoakPenalty,1))</f>
      </c>
      <c r="H10" s="10">
        <f>TargetBase*TargetGrowth^(H$5-1)/(MoveBudget*WarmthPerMove*Skill*RoundBliss*(1+$A10)^(H$5-1)*IF(MOD(H$5,SoakEvery)=0,SoakPenalty,1))</f>
      </c>
      <c r="I10" s="10">
        <f>TargetBase*TargetGrowth^(I$5-1)/(MoveBudget*WarmthPerMove*Skill*RoundBliss*(1+$A10)^(I$5-1)*IF(MOD(I$5,SoakEvery)=0,SoakPenalty,1))</f>
      </c>
      <c r="J10" s="10">
        <f>TargetBase*TargetGrowth^(J$5-1)/(MoveBudget*WarmthPerMove*Skill*RoundBliss*(1+$A10)^(J$5-1)*IF(MOD(J$5,SoakEvery)=0,SoakPenalty,1))</f>
      </c>
      <c r="K10" s="10">
        <f>TargetBase*TargetGrowth^(K$5-1)/(MoveBudget*WarmthPerMove*Skill*RoundBliss*(1+$A10)^(K$5-1)*IF(MOD(K$5,SoakEvery)=0,SoakPenalty,1))</f>
      </c>
      <c r="L10" s="10">
        <f>TargetBase*TargetGrowth^(L$5-1)/(MoveBudget*WarmthPerMove*Skill*RoundBliss*(1+$A10)^(L$5-1)*IF(MOD(L$5,SoakEvery)=0,SoakPenalty,1))</f>
      </c>
      <c r="M10" s="10">
        <f>TargetBase*TargetGrowth^(M$5-1)/(MoveBudget*WarmthPerMove*Skill*RoundBliss*(1+$A10)^(M$5-1)*IF(MOD(M$5,SoakEvery)=0,SoakPenalty,1))</f>
      </c>
      <c r="N10" s="10">
        <f>TargetBase*TargetGrowth^(N$5-1)/(MoveBudget*WarmthPerMove*Skill*RoundBliss*(1+$A10)^(N$5-1)*IF(MOD(N$5,SoakEvery)=0,SoakPenalty,1))</f>
      </c>
      <c r="O10" s="10">
        <f>TargetBase*TargetGrowth^(O$5-1)/(MoveBudget*WarmthPerMove*Skill*RoundBliss*(1+$A10)^(O$5-1)*IF(MOD(O$5,SoakEvery)=0,SoakPenalty,1))</f>
      </c>
      <c r="P10" s="10">
        <f>TargetBase*TargetGrowth^(P$5-1)/(MoveBudget*WarmthPerMove*Skill*RoundBliss*(1+$A10)^(P$5-1)*IF(MOD(P$5,SoakEvery)=0,SoakPenalty,1))</f>
      </c>
      <c r="Q10" s="1">
        <f>IFERROR(MATCH(TRUE,INDEX(B10:P10&gt;1,0),0),0)</f>
      </c>
    </row>
    <row r="11">
      <c r="A11" s="6">
        <v>0.48</v>
      </c>
      <c r="B11" s="10">
        <f>TargetBase*TargetGrowth^(B$5-1)/(MoveBudget*WarmthPerMove*Skill*RoundBliss*(1+$A11)^(B$5-1)*IF(MOD(B$5,SoakEvery)=0,SoakPenalty,1))</f>
      </c>
      <c r="C11" s="10">
        <f>TargetBase*TargetGrowth^(C$5-1)/(MoveBudget*WarmthPerMove*Skill*RoundBliss*(1+$A11)^(C$5-1)*IF(MOD(C$5,SoakEvery)=0,SoakPenalty,1))</f>
      </c>
      <c r="D11" s="10">
        <f>TargetBase*TargetGrowth^(D$5-1)/(MoveBudget*WarmthPerMove*Skill*RoundBliss*(1+$A11)^(D$5-1)*IF(MOD(D$5,SoakEvery)=0,SoakPenalty,1))</f>
      </c>
      <c r="E11" s="10">
        <f>TargetBase*TargetGrowth^(E$5-1)/(MoveBudget*WarmthPerMove*Skill*RoundBliss*(1+$A11)^(E$5-1)*IF(MOD(E$5,SoakEvery)=0,SoakPenalty,1))</f>
      </c>
      <c r="F11" s="10">
        <f>TargetBase*TargetGrowth^(F$5-1)/(MoveBudget*WarmthPerMove*Skill*RoundBliss*(1+$A11)^(F$5-1)*IF(MOD(F$5,SoakEvery)=0,SoakPenalty,1))</f>
      </c>
      <c r="G11" s="10">
        <f>TargetBase*TargetGrowth^(G$5-1)/(MoveBudget*WarmthPerMove*Skill*RoundBliss*(1+$A11)^(G$5-1)*IF(MOD(G$5,SoakEvery)=0,SoakPenalty,1))</f>
      </c>
      <c r="H11" s="10">
        <f>TargetBase*TargetGrowth^(H$5-1)/(MoveBudget*WarmthPerMove*Skill*RoundBliss*(1+$A11)^(H$5-1)*IF(MOD(H$5,SoakEvery)=0,SoakPenalty,1))</f>
      </c>
      <c r="I11" s="10">
        <f>TargetBase*TargetGrowth^(I$5-1)/(MoveBudget*WarmthPerMove*Skill*RoundBliss*(1+$A11)^(I$5-1)*IF(MOD(I$5,SoakEvery)=0,SoakPenalty,1))</f>
      </c>
      <c r="J11" s="10">
        <f>TargetBase*TargetGrowth^(J$5-1)/(MoveBudget*WarmthPerMove*Skill*RoundBliss*(1+$A11)^(J$5-1)*IF(MOD(J$5,SoakEvery)=0,SoakPenalty,1))</f>
      </c>
      <c r="K11" s="10">
        <f>TargetBase*TargetGrowth^(K$5-1)/(MoveBudget*WarmthPerMove*Skill*RoundBliss*(1+$A11)^(K$5-1)*IF(MOD(K$5,SoakEvery)=0,SoakPenalty,1))</f>
      </c>
      <c r="L11" s="10">
        <f>TargetBase*TargetGrowth^(L$5-1)/(MoveBudget*WarmthPerMove*Skill*RoundBliss*(1+$A11)^(L$5-1)*IF(MOD(L$5,SoakEvery)=0,SoakPenalty,1))</f>
      </c>
      <c r="M11" s="10">
        <f>TargetBase*TargetGrowth^(M$5-1)/(MoveBudget*WarmthPerMove*Skill*RoundBliss*(1+$A11)^(M$5-1)*IF(MOD(M$5,SoakEvery)=0,SoakPenalty,1))</f>
      </c>
      <c r="N11" s="10">
        <f>TargetBase*TargetGrowth^(N$5-1)/(MoveBudget*WarmthPerMove*Skill*RoundBliss*(1+$A11)^(N$5-1)*IF(MOD(N$5,SoakEvery)=0,SoakPenalty,1))</f>
      </c>
      <c r="O11" s="10">
        <f>TargetBase*TargetGrowth^(O$5-1)/(MoveBudget*WarmthPerMove*Skill*RoundBliss*(1+$A11)^(O$5-1)*IF(MOD(O$5,SoakEvery)=0,SoakPenalty,1))</f>
      </c>
      <c r="P11" s="10">
        <f>TargetBase*TargetGrowth^(P$5-1)/(MoveBudget*WarmthPerMove*Skill*RoundBliss*(1+$A11)^(P$5-1)*IF(MOD(P$5,SoakEvery)=0,SoakPenalty,1))</f>
      </c>
      <c r="Q11" s="1">
        <f>IFERROR(MATCH(TRUE,INDEX(B11:P11&gt;1,0),0),0)</f>
      </c>
    </row>
    <row r="12">
      <c r="A12" s="6">
        <v>0.5</v>
      </c>
      <c r="B12" s="10">
        <f>TargetBase*TargetGrowth^(B$5-1)/(MoveBudget*WarmthPerMove*Skill*RoundBliss*(1+$A12)^(B$5-1)*IF(MOD(B$5,SoakEvery)=0,SoakPenalty,1))</f>
      </c>
      <c r="C12" s="10">
        <f>TargetBase*TargetGrowth^(C$5-1)/(MoveBudget*WarmthPerMove*Skill*RoundBliss*(1+$A12)^(C$5-1)*IF(MOD(C$5,SoakEvery)=0,SoakPenalty,1))</f>
      </c>
      <c r="D12" s="10">
        <f>TargetBase*TargetGrowth^(D$5-1)/(MoveBudget*WarmthPerMove*Skill*RoundBliss*(1+$A12)^(D$5-1)*IF(MOD(D$5,SoakEvery)=0,SoakPenalty,1))</f>
      </c>
      <c r="E12" s="10">
        <f>TargetBase*TargetGrowth^(E$5-1)/(MoveBudget*WarmthPerMove*Skill*RoundBliss*(1+$A12)^(E$5-1)*IF(MOD(E$5,SoakEvery)=0,SoakPenalty,1))</f>
      </c>
      <c r="F12" s="10">
        <f>TargetBase*TargetGrowth^(F$5-1)/(MoveBudget*WarmthPerMove*Skill*RoundBliss*(1+$A12)^(F$5-1)*IF(MOD(F$5,SoakEvery)=0,SoakPenalty,1))</f>
      </c>
      <c r="G12" s="10">
        <f>TargetBase*TargetGrowth^(G$5-1)/(MoveBudget*WarmthPerMove*Skill*RoundBliss*(1+$A12)^(G$5-1)*IF(MOD(G$5,SoakEvery)=0,SoakPenalty,1))</f>
      </c>
      <c r="H12" s="10">
        <f>TargetBase*TargetGrowth^(H$5-1)/(MoveBudget*WarmthPerMove*Skill*RoundBliss*(1+$A12)^(H$5-1)*IF(MOD(H$5,SoakEvery)=0,SoakPenalty,1))</f>
      </c>
      <c r="I12" s="10">
        <f>TargetBase*TargetGrowth^(I$5-1)/(MoveBudget*WarmthPerMove*Skill*RoundBliss*(1+$A12)^(I$5-1)*IF(MOD(I$5,SoakEvery)=0,SoakPenalty,1))</f>
      </c>
      <c r="J12" s="10">
        <f>TargetBase*TargetGrowth^(J$5-1)/(MoveBudget*WarmthPerMove*Skill*RoundBliss*(1+$A12)^(J$5-1)*IF(MOD(J$5,SoakEvery)=0,SoakPenalty,1))</f>
      </c>
      <c r="K12" s="10">
        <f>TargetBase*TargetGrowth^(K$5-1)/(MoveBudget*WarmthPerMove*Skill*RoundBliss*(1+$A12)^(K$5-1)*IF(MOD(K$5,SoakEvery)=0,SoakPenalty,1))</f>
      </c>
      <c r="L12" s="10">
        <f>TargetBase*TargetGrowth^(L$5-1)/(MoveBudget*WarmthPerMove*Skill*RoundBliss*(1+$A12)^(L$5-1)*IF(MOD(L$5,SoakEvery)=0,SoakPenalty,1))</f>
      </c>
      <c r="M12" s="10">
        <f>TargetBase*TargetGrowth^(M$5-1)/(MoveBudget*WarmthPerMove*Skill*RoundBliss*(1+$A12)^(M$5-1)*IF(MOD(M$5,SoakEvery)=0,SoakPenalty,1))</f>
      </c>
      <c r="N12" s="10">
        <f>TargetBase*TargetGrowth^(N$5-1)/(MoveBudget*WarmthPerMove*Skill*RoundBliss*(1+$A12)^(N$5-1)*IF(MOD(N$5,SoakEvery)=0,SoakPenalty,1))</f>
      </c>
      <c r="O12" s="10">
        <f>TargetBase*TargetGrowth^(O$5-1)/(MoveBudget*WarmthPerMove*Skill*RoundBliss*(1+$A12)^(O$5-1)*IF(MOD(O$5,SoakEvery)=0,SoakPenalty,1))</f>
      </c>
      <c r="P12" s="10">
        <f>TargetBase*TargetGrowth^(P$5-1)/(MoveBudget*WarmthPerMove*Skill*RoundBliss*(1+$A12)^(P$5-1)*IF(MOD(P$5,SoakEvery)=0,SoakPenalty,1))</f>
      </c>
      <c r="Q12" s="1">
        <f>IFERROR(MATCH(TRUE,INDEX(B12:P12&gt;1,0),0),0)</f>
      </c>
    </row>
    <row r="13">
      <c r="A13" s="6">
        <v>0.55</v>
      </c>
      <c r="B13" s="10">
        <f>TargetBase*TargetGrowth^(B$5-1)/(MoveBudget*WarmthPerMove*Skill*RoundBliss*(1+$A13)^(B$5-1)*IF(MOD(B$5,SoakEvery)=0,SoakPenalty,1))</f>
      </c>
      <c r="C13" s="10">
        <f>TargetBase*TargetGrowth^(C$5-1)/(MoveBudget*WarmthPerMove*Skill*RoundBliss*(1+$A13)^(C$5-1)*IF(MOD(C$5,SoakEvery)=0,SoakPenalty,1))</f>
      </c>
      <c r="D13" s="10">
        <f>TargetBase*TargetGrowth^(D$5-1)/(MoveBudget*WarmthPerMove*Skill*RoundBliss*(1+$A13)^(D$5-1)*IF(MOD(D$5,SoakEvery)=0,SoakPenalty,1))</f>
      </c>
      <c r="E13" s="10">
        <f>TargetBase*TargetGrowth^(E$5-1)/(MoveBudget*WarmthPerMove*Skill*RoundBliss*(1+$A13)^(E$5-1)*IF(MOD(E$5,SoakEvery)=0,SoakPenalty,1))</f>
      </c>
      <c r="F13" s="10">
        <f>TargetBase*TargetGrowth^(F$5-1)/(MoveBudget*WarmthPerMove*Skill*RoundBliss*(1+$A13)^(F$5-1)*IF(MOD(F$5,SoakEvery)=0,SoakPenalty,1))</f>
      </c>
      <c r="G13" s="10">
        <f>TargetBase*TargetGrowth^(G$5-1)/(MoveBudget*WarmthPerMove*Skill*RoundBliss*(1+$A13)^(G$5-1)*IF(MOD(G$5,SoakEvery)=0,SoakPenalty,1))</f>
      </c>
      <c r="H13" s="10">
        <f>TargetBase*TargetGrowth^(H$5-1)/(MoveBudget*WarmthPerMove*Skill*RoundBliss*(1+$A13)^(H$5-1)*IF(MOD(H$5,SoakEvery)=0,SoakPenalty,1))</f>
      </c>
      <c r="I13" s="10">
        <f>TargetBase*TargetGrowth^(I$5-1)/(MoveBudget*WarmthPerMove*Skill*RoundBliss*(1+$A13)^(I$5-1)*IF(MOD(I$5,SoakEvery)=0,SoakPenalty,1))</f>
      </c>
      <c r="J13" s="10">
        <f>TargetBase*TargetGrowth^(J$5-1)/(MoveBudget*WarmthPerMove*Skill*RoundBliss*(1+$A13)^(J$5-1)*IF(MOD(J$5,SoakEvery)=0,SoakPenalty,1))</f>
      </c>
      <c r="K13" s="10">
        <f>TargetBase*TargetGrowth^(K$5-1)/(MoveBudget*WarmthPerMove*Skill*RoundBliss*(1+$A13)^(K$5-1)*IF(MOD(K$5,SoakEvery)=0,SoakPenalty,1))</f>
      </c>
      <c r="L13" s="10">
        <f>TargetBase*TargetGrowth^(L$5-1)/(MoveBudget*WarmthPerMove*Skill*RoundBliss*(1+$A13)^(L$5-1)*IF(MOD(L$5,SoakEvery)=0,SoakPenalty,1))</f>
      </c>
      <c r="M13" s="10">
        <f>TargetBase*TargetGrowth^(M$5-1)/(MoveBudget*WarmthPerMove*Skill*RoundBliss*(1+$A13)^(M$5-1)*IF(MOD(M$5,SoakEvery)=0,SoakPenalty,1))</f>
      </c>
      <c r="N13" s="10">
        <f>TargetBase*TargetGrowth^(N$5-1)/(MoveBudget*WarmthPerMove*Skill*RoundBliss*(1+$A13)^(N$5-1)*IF(MOD(N$5,SoakEvery)=0,SoakPenalty,1))</f>
      </c>
      <c r="O13" s="10">
        <f>TargetBase*TargetGrowth^(O$5-1)/(MoveBudget*WarmthPerMove*Skill*RoundBliss*(1+$A13)^(O$5-1)*IF(MOD(O$5,SoakEvery)=0,SoakPenalty,1))</f>
      </c>
      <c r="P13" s="10">
        <f>TargetBase*TargetGrowth^(P$5-1)/(MoveBudget*WarmthPerMove*Skill*RoundBliss*(1+$A13)^(P$5-1)*IF(MOD(P$5,SoakEvery)=0,SoakPenalty,1))</f>
      </c>
      <c r="Q13" s="1">
        <f>IFERROR(MATCH(TRUE,INDEX(B13:P13&gt;1,0),0),0)</f>
      </c>
    </row>
    <row r="14">
      <c r="A14" s="6">
        <v>0.6</v>
      </c>
      <c r="B14" s="10">
        <f>TargetBase*TargetGrowth^(B$5-1)/(MoveBudget*WarmthPerMove*Skill*RoundBliss*(1+$A14)^(B$5-1)*IF(MOD(B$5,SoakEvery)=0,SoakPenalty,1))</f>
      </c>
      <c r="C14" s="10">
        <f>TargetBase*TargetGrowth^(C$5-1)/(MoveBudget*WarmthPerMove*Skill*RoundBliss*(1+$A14)^(C$5-1)*IF(MOD(C$5,SoakEvery)=0,SoakPenalty,1))</f>
      </c>
      <c r="D14" s="10">
        <f>TargetBase*TargetGrowth^(D$5-1)/(MoveBudget*WarmthPerMove*Skill*RoundBliss*(1+$A14)^(D$5-1)*IF(MOD(D$5,SoakEvery)=0,SoakPenalty,1))</f>
      </c>
      <c r="E14" s="10">
        <f>TargetBase*TargetGrowth^(E$5-1)/(MoveBudget*WarmthPerMove*Skill*RoundBliss*(1+$A14)^(E$5-1)*IF(MOD(E$5,SoakEvery)=0,SoakPenalty,1))</f>
      </c>
      <c r="F14" s="10">
        <f>TargetBase*TargetGrowth^(F$5-1)/(MoveBudget*WarmthPerMove*Skill*RoundBliss*(1+$A14)^(F$5-1)*IF(MOD(F$5,SoakEvery)=0,SoakPenalty,1))</f>
      </c>
      <c r="G14" s="10">
        <f>TargetBase*TargetGrowth^(G$5-1)/(MoveBudget*WarmthPerMove*Skill*RoundBliss*(1+$A14)^(G$5-1)*IF(MOD(G$5,SoakEvery)=0,SoakPenalty,1))</f>
      </c>
      <c r="H14" s="10">
        <f>TargetBase*TargetGrowth^(H$5-1)/(MoveBudget*WarmthPerMove*Skill*RoundBliss*(1+$A14)^(H$5-1)*IF(MOD(H$5,SoakEvery)=0,SoakPenalty,1))</f>
      </c>
      <c r="I14" s="10">
        <f>TargetBase*TargetGrowth^(I$5-1)/(MoveBudget*WarmthPerMove*Skill*RoundBliss*(1+$A14)^(I$5-1)*IF(MOD(I$5,SoakEvery)=0,SoakPenalty,1))</f>
      </c>
      <c r="J14" s="10">
        <f>TargetBase*TargetGrowth^(J$5-1)/(MoveBudget*WarmthPerMove*Skill*RoundBliss*(1+$A14)^(J$5-1)*IF(MOD(J$5,SoakEvery)=0,SoakPenalty,1))</f>
      </c>
      <c r="K14" s="10">
        <f>TargetBase*TargetGrowth^(K$5-1)/(MoveBudget*WarmthPerMove*Skill*RoundBliss*(1+$A14)^(K$5-1)*IF(MOD(K$5,SoakEvery)=0,SoakPenalty,1))</f>
      </c>
      <c r="L14" s="10">
        <f>TargetBase*TargetGrowth^(L$5-1)/(MoveBudget*WarmthPerMove*Skill*RoundBliss*(1+$A14)^(L$5-1)*IF(MOD(L$5,SoakEvery)=0,SoakPenalty,1))</f>
      </c>
      <c r="M14" s="10">
        <f>TargetBase*TargetGrowth^(M$5-1)/(MoveBudget*WarmthPerMove*Skill*RoundBliss*(1+$A14)^(M$5-1)*IF(MOD(M$5,SoakEvery)=0,SoakPenalty,1))</f>
      </c>
      <c r="N14" s="10">
        <f>TargetBase*TargetGrowth^(N$5-1)/(MoveBudget*WarmthPerMove*Skill*RoundBliss*(1+$A14)^(N$5-1)*IF(MOD(N$5,SoakEvery)=0,SoakPenalty,1))</f>
      </c>
      <c r="O14" s="10">
        <f>TargetBase*TargetGrowth^(O$5-1)/(MoveBudget*WarmthPerMove*Skill*RoundBliss*(1+$A14)^(O$5-1)*IF(MOD(O$5,SoakEvery)=0,SoakPenalty,1))</f>
      </c>
      <c r="P14" s="10">
        <f>TargetBase*TargetGrowth^(P$5-1)/(MoveBudget*WarmthPerMove*Skill*RoundBliss*(1+$A14)^(P$5-1)*IF(MOD(P$5,SoakEvery)=0,SoakPenalty,1))</f>
      </c>
      <c r="Q14" s="1">
        <f>IFERROR(MATCH(TRUE,INDEX(B14:P14&gt;1,0),0),0)</f>
      </c>
    </row>
    <row r="16">
      <c r="A16" s="1">
        <f>CharmGain</f>
      </c>
      <c r="B16" s="10">
        <f>TargetBase*TargetGrowth^(B$5-1)/(MoveBudget*WarmthPerMove*Skill*RoundBliss*(1+$A16)^(B$5-1)*IF(MOD(B$5,SoakEvery)=0,SoakPenalty,1))</f>
      </c>
      <c r="C16" s="10">
        <f>TargetBase*TargetGrowth^(C$5-1)/(MoveBudget*WarmthPerMove*Skill*RoundBliss*(1+$A16)^(C$5-1)*IF(MOD(C$5,SoakEvery)=0,SoakPenalty,1))</f>
      </c>
      <c r="D16" s="10">
        <f>TargetBase*TargetGrowth^(D$5-1)/(MoveBudget*WarmthPerMove*Skill*RoundBliss*(1+$A16)^(D$5-1)*IF(MOD(D$5,SoakEvery)=0,SoakPenalty,1))</f>
      </c>
      <c r="E16" s="10">
        <f>TargetBase*TargetGrowth^(E$5-1)/(MoveBudget*WarmthPerMove*Skill*RoundBliss*(1+$A16)^(E$5-1)*IF(MOD(E$5,SoakEvery)=0,SoakPenalty,1))</f>
      </c>
      <c r="F16" s="10">
        <f>TargetBase*TargetGrowth^(F$5-1)/(MoveBudget*WarmthPerMove*Skill*RoundBliss*(1+$A16)^(F$5-1)*IF(MOD(F$5,SoakEvery)=0,SoakPenalty,1))</f>
      </c>
      <c r="G16" s="10">
        <f>TargetBase*TargetGrowth^(G$5-1)/(MoveBudget*WarmthPerMove*Skill*RoundBliss*(1+$A16)^(G$5-1)*IF(MOD(G$5,SoakEvery)=0,SoakPenalty,1))</f>
      </c>
      <c r="H16" s="10">
        <f>TargetBase*TargetGrowth^(H$5-1)/(MoveBudget*WarmthPerMove*Skill*RoundBliss*(1+$A16)^(H$5-1)*IF(MOD(H$5,SoakEvery)=0,SoakPenalty,1))</f>
      </c>
      <c r="I16" s="10">
        <f>TargetBase*TargetGrowth^(I$5-1)/(MoveBudget*WarmthPerMove*Skill*RoundBliss*(1+$A16)^(I$5-1)*IF(MOD(I$5,SoakEvery)=0,SoakPenalty,1))</f>
      </c>
      <c r="J16" s="10">
        <f>TargetBase*TargetGrowth^(J$5-1)/(MoveBudget*WarmthPerMove*Skill*RoundBliss*(1+$A16)^(J$5-1)*IF(MOD(J$5,SoakEvery)=0,SoakPenalty,1))</f>
      </c>
      <c r="K16" s="10">
        <f>TargetBase*TargetGrowth^(K$5-1)/(MoveBudget*WarmthPerMove*Skill*RoundBliss*(1+$A16)^(K$5-1)*IF(MOD(K$5,SoakEvery)=0,SoakPenalty,1))</f>
      </c>
      <c r="L16" s="10">
        <f>TargetBase*TargetGrowth^(L$5-1)/(MoveBudget*WarmthPerMove*Skill*RoundBliss*(1+$A16)^(L$5-1)*IF(MOD(L$5,SoakEvery)=0,SoakPenalty,1))</f>
      </c>
      <c r="M16" s="10">
        <f>TargetBase*TargetGrowth^(M$5-1)/(MoveBudget*WarmthPerMove*Skill*RoundBliss*(1+$A16)^(M$5-1)*IF(MOD(M$5,SoakEvery)=0,SoakPenalty,1))</f>
      </c>
      <c r="N16" s="10">
        <f>TargetBase*TargetGrowth^(N$5-1)/(MoveBudget*WarmthPerMove*Skill*RoundBliss*(1+$A16)^(N$5-1)*IF(MOD(N$5,SoakEvery)=0,SoakPenalty,1))</f>
      </c>
      <c r="O16" s="10">
        <f>TargetBase*TargetGrowth^(O$5-1)/(MoveBudget*WarmthPerMove*Skill*RoundBliss*(1+$A16)^(O$5-1)*IF(MOD(O$5,SoakEvery)=0,SoakPenalty,1))</f>
      </c>
      <c r="P16" s="10">
        <f>TargetBase*TargetGrowth^(P$5-1)/(MoveBudget*WarmthPerMove*Skill*RoundBliss*(1+$A16)^(P$5-1)*IF(MOD(P$5,SoakEvery)=0,SoakPenalty,1))</f>
      </c>
      <c r="Q16" s="1">
        <f>IFERROR(MATCH(TRUE,INDEX(B16:P16&gt;1,0),0),0)</f>
      </c>
    </row>
    <row r="17">
      <c r="A17" s="3" t="inlineStr">
        <is>
          <t xml:space="preserve">^ live row: mirrors the Assumptions value.</t>
        </is>
      </c>
    </row>
    <row r="18">
      <c r="A18" s="1" t="inlineStr">
        <is>
          <t xml:space="preserve">self-check vs Rounds</t>
        </is>
      </c>
      <c r="B18" s="1">
        <f>IF(Q16=WallRound,"ok — closed form agrees with the Rounds table","MISMATCH — the two models have diverged")</f>
      </c>
    </row>
  </sheetData>
</worksheet>
</file>